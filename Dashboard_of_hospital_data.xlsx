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dfe549447917510/Desktop/apps ^0 folders/Data Analyst/03_hospital_dashboard_excel/"/>
    </mc:Choice>
  </mc:AlternateContent>
  <xr:revisionPtr revIDLastSave="1370" documentId="8_{FE3FF45E-89B3-49A7-85A2-6E1AAFA9A85D}" xr6:coauthVersionLast="47" xr6:coauthVersionMax="47" xr10:uidLastSave="{EEC291FA-8384-43DA-ACED-5BD5907DA911}"/>
  <bookViews>
    <workbookView xWindow="-110" yWindow="-110" windowWidth="19420" windowHeight="11500" activeTab="1" xr2:uid="{077C3993-6144-42FA-B432-58FE1219FD7B}"/>
  </bookViews>
  <sheets>
    <sheet name="Pivot Report" sheetId="1" r:id="rId1"/>
    <sheet name="Dashboard" sheetId="2" r:id="rId2"/>
  </sheets>
  <definedNames>
    <definedName name="Slicer_Dates__Month">#N/A</definedName>
    <definedName name="Slicer_Dates__Year">#N/A</definedName>
  </definedNames>
  <calcPr calcId="191029"/>
  <pivotCaches>
    <pivotCache cacheId="1297" r:id="rId3"/>
    <pivotCache cacheId="1300" r:id="rId4"/>
    <pivotCache cacheId="1303" r:id="rId5"/>
    <pivotCache cacheId="1306" r:id="rId6"/>
    <pivotCache cacheId="1309" r:id="rId7"/>
    <pivotCache cacheId="1312" r:id="rId8"/>
    <pivotCache cacheId="1315" r:id="rId9"/>
    <pivotCache cacheId="1318" r:id="rId10"/>
    <pivotCache cacheId="1321" r:id="rId11"/>
    <pivotCache cacheId="1324" r:id="rId12"/>
    <pivotCache cacheId="1327" r:id="rId13"/>
    <pivotCache cacheId="1330" r:id="rId14"/>
  </pivotCaches>
  <extLst>
    <ext xmlns:x14="http://schemas.microsoft.com/office/spreadsheetml/2009/9/main" uri="{876F7934-8845-4945-9796-88D515C7AA90}">
      <x14:pivotCaches>
        <pivotCache cacheId="4"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05b322-3386-41e5-a3db-de5e9dbf60e3" name="Hospital Emergency Room Data" connection="Query - Hospital Emergency Room Data"/>
          <x15:modelTable id="Calendar_Table_35b45443-13e0-4e92-b202-852cdbc7f1e0" name="Calendar_Table" connection="Query - Calendar_Table"/>
        </x15:modelTables>
        <x15:modelRelationships>
          <x15:modelRelationship fromTable="Hospital Emergency Room Data" fromColumn="Patient Admission Date.1" toTable="Calendar_Table" toColumn="Dates"/>
        </x15:modelRelationships>
        <x15:extLst>
          <ext xmlns:x16="http://schemas.microsoft.com/office/spreadsheetml/2014/11/main" uri="{9835A34E-60A6-4A7C-AAB8-D5F71C897F49}">
            <x16:modelTimeGroupings>
              <x16:modelTimeGrouping tableName="Calenda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3" i="1" l="1"/>
  <c r="R13" i="1"/>
  <c r="R12" i="1"/>
  <c r="Q12" i="1"/>
  <c r="P12" i="1"/>
  <c r="P13" i="1"/>
  <c r="Q6" i="2"/>
  <c r="Q3" i="2"/>
  <c r="Q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DBE3CC-C04E-471B-9D96-B3CF7C06D415}" name="Query - Calendar_Table" description="Connection to the 'Calendar_Table' query in the workbook." type="100" refreshedVersion="8" minRefreshableVersion="5">
    <extLst>
      <ext xmlns:x15="http://schemas.microsoft.com/office/spreadsheetml/2010/11/main" uri="{DE250136-89BD-433C-8126-D09CA5730AF9}">
        <x15:connection id="790af067-e08f-4ac0-8668-3f2f21a566e6"/>
      </ext>
    </extLst>
  </connection>
  <connection id="2" xr16:uid="{5AB4E4A3-95D0-41A1-825D-332F2B7ADAE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3a01a94-3220-4a2d-8da9-19d976578401"/>
      </ext>
    </extLst>
  </connection>
  <connection id="3" xr16:uid="{14B4435C-4AF9-4A9F-B75E-31532B3F28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<sst xmlns="http://schemas.openxmlformats.org/spreadsheetml/2006/main" count="153" uniqueCount="72">
  <si>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No. Of Patient</t>
  </si>
  <si>
    <t>Average of Patient Waittime</t>
  </si>
  <si>
    <t>Average of Patient Satisfaction Score</t>
  </si>
  <si>
    <t>Row Labels</t>
  </si>
  <si>
    <t>Grand Total</t>
  </si>
  <si>
    <t>Distinct Count of Patient Id</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</si>
  <si>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</si>
  <si>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</si>
  <si>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</si>
  <si>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</si>
  <si>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</si>
  <si>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</si>
  <si>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</si>
  <si>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</si>
  <si>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</si>
  <si>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</si>
  <si>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</si>
  <si>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</si>
  <si>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</si>
  <si>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</si>
  <si>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</si>
  <si>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</si>
  <si>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</si>
  <si>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</si>
  <si>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</si>
  <si>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</si>
  <si>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</si>
  <si>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</si>
  <si>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</si>
  <si>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</si>
  <si>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</si>
  <si>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</si>
  <si>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</si>
  <si>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</si>
  <si>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</si>
  <si>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</si>
  <si>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</si>
  <si>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</si>
  <si>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average wait time</t>
  </si>
  <si>
    <t>Male</t>
  </si>
  <si>
    <t>None</t>
  </si>
  <si>
    <t>Admitted</t>
  </si>
  <si>
    <t>30-39</t>
  </si>
  <si>
    <t>Ontime</t>
  </si>
  <si>
    <t>Female</t>
  </si>
  <si>
    <t>Not Admitted</t>
  </si>
  <si>
    <t>20-29</t>
  </si>
  <si>
    <t>Delay</t>
  </si>
  <si>
    <t>0-9</t>
  </si>
  <si>
    <t>60-69</t>
  </si>
  <si>
    <t>50-59</t>
  </si>
  <si>
    <t>General Practice</t>
  </si>
  <si>
    <t>Orthopedics</t>
  </si>
  <si>
    <t>Cardiology</t>
  </si>
  <si>
    <t>10-19</t>
  </si>
  <si>
    <t>Neurology</t>
  </si>
  <si>
    <t>satisfaction level</t>
  </si>
  <si>
    <t>Count of Patient Admission Flag</t>
  </si>
  <si>
    <t>Count of Patient Admission Flag2</t>
  </si>
  <si>
    <t>Admission Status</t>
  </si>
  <si>
    <t>No. Of Patients</t>
  </si>
  <si>
    <t>%Status</t>
  </si>
  <si>
    <t>40-49</t>
  </si>
  <si>
    <t>70-79</t>
  </si>
  <si>
    <t>Count of Age Group</t>
  </si>
  <si>
    <t>Count of Patient Id</t>
  </si>
  <si>
    <t>Count of Patient Gender</t>
  </si>
  <si>
    <t>Gastroenterology</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</si>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</sst>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theme="3" tint="9.9978637043366805E-2"/>
      <name val="Aptos Narrow"/>
      <family val="2"/>
      <scheme val="minor"/>
    </font>
  </fonts>
  <fills count="5">
    <fill>
      <patternFill patternType="none"/>
    </fill>
    <fill>
      <patternFill patternType="gray125"/>
    </fill>
    <fill>
      <patternFill patternType="solid">
        <fgColor theme="1" tint="0.14999847407452621"/>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 fontId="0" fillId="0" borderId="0" xfId="0" applyNumberFormat="1"/>
    <xf numFmtId="10" fontId="0" fillId="0" borderId="0" xfId="0" applyNumberFormat="1"/>
    <xf numFmtId="0" fontId="0" fillId="3" borderId="0" xfId="0" applyFill="1"/>
    <xf numFmtId="0" fontId="3" fillId="4" borderId="0" xfId="0" applyFont="1" applyFill="1"/>
    <xf numFmtId="0" fontId="2" fillId="4" borderId="0" xfId="0" applyFont="1" applyFill="1" applyAlignment="1">
      <alignment horizontal="center" vertical="center"/>
    </xf>
    <xf numFmtId="0" fontId="0" fillId="3" borderId="0" xfId="0" applyFill="1" applyAlignment="1">
      <alignment horizontal="center" vertical="center"/>
    </xf>
    <xf numFmtId="10" fontId="0" fillId="3" borderId="0" xfId="1" applyNumberFormat="1" applyFont="1" applyFill="1" applyAlignment="1">
      <alignment horizontal="center" vertical="center"/>
    </xf>
  </cellXfs>
  <cellStyles count="2">
    <cellStyle name="Normal" xfId="0" builtinId="0"/>
    <cellStyle name="Percent" xfId="1" builtinId="5"/>
  </cellStyles>
  <dxfs count="323">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6"/>
        <color theme="1"/>
      </font>
      <fill>
        <patternFill>
          <bgColor theme="0" tint="-4.9989318521683403E-2"/>
        </patternFill>
      </fill>
      <border diagonalUp="0" diagonalDown="0">
        <left/>
        <right/>
        <top/>
        <bottom/>
        <vertical/>
        <horizontal/>
      </border>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9" formatCode="0.0"/>
    </dxf>
    <dxf>
      <numFmt numFmtId="169"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s>
  <tableStyles count="2" defaultTableStyle="TableStyleMedium2" defaultPivotStyle="PivotStyleLight16">
    <tableStyle name="Invisible" pivot="0" table="0" count="0" xr9:uid="{60293827-FC2F-4259-893D-DB6C455C2AA3}"/>
    <tableStyle name="My style" pivot="0" table="0" count="10" xr9:uid="{2644B3DF-0968-46D9-9E9B-5266B5A03951}">
      <tableStyleElement type="wholeTable" dxfId="103"/>
      <tableStyleElement type="headerRow" dxfId="10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Report!PivotTable2</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19C8-4C47-A8A9-89ADD5E7AB63}"/>
            </c:ext>
          </c:extLst>
        </c:ser>
        <c:dLbls>
          <c:showLegendKey val="0"/>
          <c:showVal val="0"/>
          <c:showCatName val="0"/>
          <c:showSerName val="0"/>
          <c:showPercent val="0"/>
          <c:showBubbleSize val="0"/>
        </c:dLbls>
        <c:axId val="2015870303"/>
        <c:axId val="324922031"/>
      </c:areaChart>
      <c:catAx>
        <c:axId val="201587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24922031"/>
        <c:crosses val="autoZero"/>
        <c:auto val="1"/>
        <c:lblAlgn val="ctr"/>
        <c:lblOffset val="100"/>
        <c:noMultiLvlLbl val="0"/>
      </c:catAx>
      <c:valAx>
        <c:axId val="324922031"/>
        <c:scaling>
          <c:orientation val="minMax"/>
        </c:scaling>
        <c:delete val="1"/>
        <c:axPos val="l"/>
        <c:numFmt formatCode="General" sourceLinked="1"/>
        <c:majorTickMark val="none"/>
        <c:minorTickMark val="none"/>
        <c:tickLblPos val="nextTo"/>
        <c:crossAx val="201587030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3EA8EA-58B3-4DCB-845D-6762CDA53E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C04B2C-BCF4-4B06-86D7-B8C39BF3CE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C04B2C-BCF4-4B06-86D7-B8C39BF3CE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3EA8EA-58B3-4DCB-845D-6762CDA53E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6718870939041856"/>
                  <c:h val="0.37617920032532581"/>
                </c:manualLayout>
              </c15:layout>
              <c15:showDataLabelsRange val="1"/>
            </c:ext>
          </c:extLst>
        </c:dLbl>
      </c:pivotFmt>
      <c:pivotFmt>
        <c:idx val="10"/>
        <c:spPr>
          <a:solidFill>
            <a:schemeClr val="accent1"/>
          </a:solidFill>
          <a:ln>
            <a:noFill/>
          </a:ln>
          <a:effectLst/>
        </c:spPr>
        <c:dLbl>
          <c:idx val="0"/>
          <c:layout>
            <c:manualLayout>
              <c:x val="8.7838487845027E-2"/>
              <c:y val="-2.775557561562891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51006118513423"/>
                  <c:h val="0.37617920032532581"/>
                </c:manualLayout>
              </c15:layout>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24002293263284E-3"/>
          <c:y val="0.21897928624906418"/>
          <c:w val="0.78521655481604868"/>
          <c:h val="0.77350673517712187"/>
        </c:manualLayout>
      </c:layout>
      <c:barChart>
        <c:barDir val="bar"/>
        <c:grouping val="clustered"/>
        <c:varyColors val="0"/>
        <c:ser>
          <c:idx val="0"/>
          <c:order val="0"/>
          <c:tx>
            <c:strRef>
              <c:f>'Pivot Report'!$R$4:$R$5</c:f>
              <c:strCache>
                <c:ptCount val="1"/>
                <c:pt idx="0">
                  <c:v>Count of Patient Admission Flag</c:v>
                </c:pt>
              </c:strCache>
            </c:strRef>
          </c:tx>
          <c:spPr>
            <a:solidFill>
              <a:schemeClr val="accent1"/>
            </a:solidFill>
            <a:ln>
              <a:noFill/>
            </a:ln>
            <a:effectLst/>
          </c:spPr>
          <c:invertIfNegative val="0"/>
          <c:dLbls>
            <c:dLbl>
              <c:idx val="0"/>
              <c:showLegendKey val="0"/>
              <c:showVal val="0"/>
              <c:showCatName val="0"/>
              <c:showSerName val="0"/>
              <c:showPercent val="0"/>
              <c:showBubbleSize val="0"/>
              <c:extLst>
                <c:ext xmlns:c15="http://schemas.microsoft.com/office/drawing/2012/chart" uri="{CE6537A1-D6FC-4f65-9D91-7224C49458BB}">
                  <c15:layout>
                    <c:manualLayout>
                      <c:w val="0.26718870939041856"/>
                      <c:h val="0.37617920032532581"/>
                    </c:manualLayout>
                  </c15:layout>
                  <c15:showDataLabelsRange val="1"/>
                </c:ext>
              </c:extLst>
            </c:dLbl>
            <c:dLbl>
              <c:idx val="1"/>
              <c:layout>
                <c:manualLayout>
                  <c:x val="8.7838487845027E-2"/>
                  <c:y val="-2.7755575615628914E-17"/>
                </c:manualLayout>
              </c:layout>
              <c:showLegendKey val="0"/>
              <c:showVal val="0"/>
              <c:showCatName val="0"/>
              <c:showSerName val="0"/>
              <c:showPercent val="0"/>
              <c:showBubbleSize val="0"/>
              <c:extLst>
                <c:ext xmlns:c15="http://schemas.microsoft.com/office/drawing/2012/chart" uri="{CE6537A1-D6FC-4f65-9D91-7224C49458BB}">
                  <c15:layout>
                    <c:manualLayout>
                      <c:w val="0.3151006118513423"/>
                      <c:h val="0.37617920032532581"/>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Report'!$R$4:$R$5</c:f>
              <c:strCache>
                <c:ptCount val="2"/>
                <c:pt idx="0">
                  <c:v>Admitted</c:v>
                </c:pt>
                <c:pt idx="1">
                  <c:v>Not Admitted</c:v>
                </c:pt>
              </c:strCache>
            </c:strRef>
          </c:cat>
          <c:val>
            <c:numRef>
              <c:f>'Pivot Report'!$R$4:$R$5</c:f>
              <c:numCache>
                <c:formatCode>0</c:formatCode>
                <c:ptCount val="2"/>
                <c:pt idx="0">
                  <c:v>269</c:v>
                </c:pt>
                <c:pt idx="1">
                  <c:v>244</c:v>
                </c:pt>
              </c:numCache>
            </c:numRef>
          </c:val>
          <c:extLst>
            <c:ext xmlns:c16="http://schemas.microsoft.com/office/drawing/2014/chart" uri="{C3380CC4-5D6E-409C-BE32-E72D297353CC}">
              <c16:uniqueId val="{00000004-ABE1-4E6B-96C0-A44B288CE106}"/>
            </c:ext>
          </c:extLst>
        </c:ser>
        <c:ser>
          <c:idx val="1"/>
          <c:order val="1"/>
          <c:tx>
            <c:strRef>
              <c:f>'Pivot Report'!$R$4:$R$5</c:f>
              <c:strCache>
                <c:ptCount val="1"/>
                <c:pt idx="0">
                  <c:v>Count of Patient Admission Flag2</c:v>
                </c:pt>
              </c:strCache>
            </c:strRef>
          </c:tx>
          <c:spPr>
            <a:solidFill>
              <a:schemeClr val="accent2"/>
            </a:solidFill>
            <a:ln>
              <a:noFill/>
            </a:ln>
            <a:effectLst/>
          </c:spPr>
          <c:invertIfNegative val="0"/>
          <c:cat>
            <c:strRef>
              <c:f>'Pivot Report'!$R$4:$R$5</c:f>
              <c:strCache>
                <c:ptCount val="2"/>
                <c:pt idx="0">
                  <c:v>Admitted</c:v>
                </c:pt>
                <c:pt idx="1">
                  <c:v>Not Admitted</c:v>
                </c:pt>
              </c:strCache>
            </c:strRef>
          </c:cat>
          <c:val>
            <c:numRef>
              <c:f>'Pivot Report'!$R$4:$R$5</c:f>
              <c:numCache>
                <c:formatCode>0.00%</c:formatCode>
                <c:ptCount val="2"/>
                <c:pt idx="0">
                  <c:v>0.52436647173489281</c:v>
                </c:pt>
                <c:pt idx="1">
                  <c:v>0.47563352826510719</c:v>
                </c:pt>
              </c:numCache>
            </c:numRef>
          </c:val>
          <c:extLst>
            <c:ext xmlns:c16="http://schemas.microsoft.com/office/drawing/2014/chart" uri="{C3380CC4-5D6E-409C-BE32-E72D297353CC}">
              <c16:uniqueId val="{00000005-ABE1-4E6B-96C0-A44B288CE106}"/>
            </c:ext>
          </c:extLst>
        </c:ser>
        <c:dLbls>
          <c:showLegendKey val="0"/>
          <c:showVal val="0"/>
          <c:showCatName val="0"/>
          <c:showSerName val="0"/>
          <c:showPercent val="0"/>
          <c:showBubbleSize val="0"/>
        </c:dLbls>
        <c:gapWidth val="182"/>
        <c:axId val="2140708287"/>
        <c:axId val="1942071471"/>
      </c:barChart>
      <c:catAx>
        <c:axId val="2140708287"/>
        <c:scaling>
          <c:orientation val="minMax"/>
        </c:scaling>
        <c:delete val="1"/>
        <c:axPos val="l"/>
        <c:numFmt formatCode="General" sourceLinked="1"/>
        <c:majorTickMark val="none"/>
        <c:minorTickMark val="none"/>
        <c:tickLblPos val="nextTo"/>
        <c:crossAx val="1942071471"/>
        <c:crosses val="autoZero"/>
        <c:auto val="1"/>
        <c:lblAlgn val="ctr"/>
        <c:lblOffset val="100"/>
        <c:noMultiLvlLbl val="0"/>
      </c:catAx>
      <c:valAx>
        <c:axId val="1942071471"/>
        <c:scaling>
          <c:orientation val="minMax"/>
        </c:scaling>
        <c:delete val="1"/>
        <c:axPos val="b"/>
        <c:numFmt formatCode="0" sourceLinked="1"/>
        <c:majorTickMark val="none"/>
        <c:minorTickMark val="none"/>
        <c:tickLblPos val="nextTo"/>
        <c:crossAx val="214070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20000"/>
              <a:lumOff val="8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4132659683753911"/>
          <c:w val="1"/>
          <c:h val="0.54318003973164453"/>
        </c:manualLayout>
      </c:layout>
      <c:areaChart>
        <c:grouping val="standard"/>
        <c:varyColors val="0"/>
        <c:ser>
          <c:idx val="0"/>
          <c:order val="0"/>
          <c:tx>
            <c:strRef>
              <c:f>'Pivot Report'!$D$4</c:f>
              <c:strCache>
                <c:ptCount val="1"/>
                <c:pt idx="0">
                  <c:v>Total</c:v>
                </c:pt>
              </c:strCache>
            </c:strRef>
          </c:tx>
          <c:spPr>
            <a:solidFill>
              <a:schemeClr val="accent1">
                <a:lumMod val="20000"/>
                <a:lumOff val="80000"/>
              </a:schemeClr>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11-2718-4433-A297-63CF69E999F0}"/>
            </c:ext>
          </c:extLst>
        </c:ser>
        <c:dLbls>
          <c:showLegendKey val="0"/>
          <c:showVal val="0"/>
          <c:showCatName val="0"/>
          <c:showSerName val="0"/>
          <c:showPercent val="0"/>
          <c:showBubbleSize val="0"/>
        </c:dLbls>
        <c:axId val="2015870303"/>
        <c:axId val="324922031"/>
      </c:areaChart>
      <c:catAx>
        <c:axId val="2015870303"/>
        <c:scaling>
          <c:orientation val="minMax"/>
        </c:scaling>
        <c:delete val="1"/>
        <c:axPos val="b"/>
        <c:numFmt formatCode="General" sourceLinked="1"/>
        <c:majorTickMark val="out"/>
        <c:minorTickMark val="none"/>
        <c:tickLblPos val="nextTo"/>
        <c:crossAx val="324922031"/>
        <c:crosses val="autoZero"/>
        <c:auto val="1"/>
        <c:lblAlgn val="ctr"/>
        <c:lblOffset val="100"/>
        <c:noMultiLvlLbl val="0"/>
      </c:catAx>
      <c:valAx>
        <c:axId val="324922031"/>
        <c:scaling>
          <c:orientation val="minMax"/>
        </c:scaling>
        <c:delete val="1"/>
        <c:axPos val="l"/>
        <c:numFmt formatCode="General" sourceLinked="1"/>
        <c:majorTickMark val="none"/>
        <c:minorTickMark val="none"/>
        <c:tickLblPos val="nextTo"/>
        <c:crossAx val="2015870303"/>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1">
                <a:lumMod val="20000"/>
                <a:lumOff val="80000"/>
              </a:schemeClr>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BBB1-4443-9FBE-794268322DFA}"/>
            </c:ext>
          </c:extLst>
        </c:ser>
        <c:dLbls>
          <c:showLegendKey val="0"/>
          <c:showVal val="0"/>
          <c:showCatName val="0"/>
          <c:showSerName val="0"/>
          <c:showPercent val="0"/>
          <c:showBubbleSize val="0"/>
        </c:dLbls>
        <c:axId val="2135741263"/>
        <c:axId val="288831887"/>
      </c:areaChart>
      <c:catAx>
        <c:axId val="2135741263"/>
        <c:scaling>
          <c:orientation val="minMax"/>
        </c:scaling>
        <c:delete val="1"/>
        <c:axPos val="b"/>
        <c:numFmt formatCode="General" sourceLinked="1"/>
        <c:majorTickMark val="out"/>
        <c:minorTickMark val="none"/>
        <c:tickLblPos val="nextTo"/>
        <c:crossAx val="288831887"/>
        <c:crosses val="autoZero"/>
        <c:auto val="1"/>
        <c:lblAlgn val="ctr"/>
        <c:lblOffset val="100"/>
        <c:noMultiLvlLbl val="0"/>
      </c:catAx>
      <c:valAx>
        <c:axId val="288831887"/>
        <c:scaling>
          <c:orientation val="minMax"/>
        </c:scaling>
        <c:delete val="1"/>
        <c:axPos val="l"/>
        <c:numFmt formatCode="0.00" sourceLinked="1"/>
        <c:majorTickMark val="none"/>
        <c:minorTickMark val="none"/>
        <c:tickLblPos val="nextTo"/>
        <c:crossAx val="2135741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3333333333333331"/>
          <c:w val="1"/>
          <c:h val="0.66666666666666663"/>
        </c:manualLayout>
      </c:layout>
      <c:areaChart>
        <c:grouping val="standard"/>
        <c:varyColors val="0"/>
        <c:ser>
          <c:idx val="0"/>
          <c:order val="0"/>
          <c:tx>
            <c:strRef>
              <c:f>'Pivot Report'!$M$4</c:f>
              <c:strCache>
                <c:ptCount val="1"/>
                <c:pt idx="0">
                  <c:v>Total</c:v>
                </c:pt>
              </c:strCache>
            </c:strRef>
          </c:tx>
          <c:spPr>
            <a:solidFill>
              <a:schemeClr val="accent1">
                <a:lumMod val="20000"/>
                <a:lumOff val="80000"/>
              </a:schemeClr>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EEA6-4DBF-BD4A-A39DD6826165}"/>
            </c:ext>
          </c:extLst>
        </c:ser>
        <c:dLbls>
          <c:showLegendKey val="0"/>
          <c:showVal val="0"/>
          <c:showCatName val="0"/>
          <c:showSerName val="0"/>
          <c:showPercent val="0"/>
          <c:showBubbleSize val="0"/>
        </c:dLbls>
        <c:axId val="2140930543"/>
        <c:axId val="288730127"/>
      </c:areaChart>
      <c:catAx>
        <c:axId val="2140930543"/>
        <c:scaling>
          <c:orientation val="minMax"/>
        </c:scaling>
        <c:delete val="1"/>
        <c:axPos val="b"/>
        <c:numFmt formatCode="General" sourceLinked="1"/>
        <c:majorTickMark val="out"/>
        <c:minorTickMark val="none"/>
        <c:tickLblPos val="nextTo"/>
        <c:crossAx val="288730127"/>
        <c:crosses val="autoZero"/>
        <c:auto val="1"/>
        <c:lblAlgn val="ctr"/>
        <c:lblOffset val="100"/>
        <c:noMultiLvlLbl val="0"/>
      </c:catAx>
      <c:valAx>
        <c:axId val="288730127"/>
        <c:scaling>
          <c:orientation val="minMax"/>
        </c:scaling>
        <c:delete val="1"/>
        <c:axPos val="l"/>
        <c:numFmt formatCode="0.00" sourceLinked="1"/>
        <c:majorTickMark val="none"/>
        <c:minorTickMark val="none"/>
        <c:tickLblPos val="nextTo"/>
        <c:crossAx val="2140930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9595004856631363E-2"/>
          <c:w val="0.98626105153058818"/>
          <c:h val="0.68983984005784404"/>
        </c:manualLayout>
      </c:layout>
      <c:barChart>
        <c:barDir val="col"/>
        <c:grouping val="clustered"/>
        <c:varyColors val="0"/>
        <c:ser>
          <c:idx val="0"/>
          <c:order val="0"/>
          <c:tx>
            <c:strRef>
              <c:f>'Pivot Report'!$Q$17</c:f>
              <c:strCache>
                <c:ptCount val="1"/>
                <c:pt idx="0">
                  <c:v>Total</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Report'!$P$18:$P$26</c:f>
              <c:strCache>
                <c:ptCount val="8"/>
                <c:pt idx="0">
                  <c:v>0-9</c:v>
                </c:pt>
                <c:pt idx="1">
                  <c:v>10-19</c:v>
                </c:pt>
                <c:pt idx="2">
                  <c:v>20-29</c:v>
                </c:pt>
                <c:pt idx="3">
                  <c:v>30-39</c:v>
                </c:pt>
                <c:pt idx="4">
                  <c:v>40-49</c:v>
                </c:pt>
                <c:pt idx="5">
                  <c:v>50-59</c:v>
                </c:pt>
                <c:pt idx="6">
                  <c:v>60-69</c:v>
                </c:pt>
                <c:pt idx="7">
                  <c:v>70-79</c:v>
                </c:pt>
              </c:strCache>
            </c:strRef>
          </c:cat>
          <c:val>
            <c:numRef>
              <c:f>'Pivot Report'!$Q$18:$Q$26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5-128D-479F-8081-31C29B82FDF0}"/>
            </c:ext>
          </c:extLst>
        </c:ser>
        <c:dLbls>
          <c:showLegendKey val="0"/>
          <c:showVal val="0"/>
          <c:showCatName val="0"/>
          <c:showSerName val="0"/>
          <c:showPercent val="0"/>
          <c:showBubbleSize val="0"/>
        </c:dLbls>
        <c:gapWidth val="219"/>
        <c:overlap val="-27"/>
        <c:axId val="588472639"/>
        <c:axId val="288840047"/>
      </c:barChart>
      <c:catAx>
        <c:axId val="58847263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88840047"/>
        <c:crosses val="autoZero"/>
        <c:auto val="1"/>
        <c:lblAlgn val="ctr"/>
        <c:lblOffset val="100"/>
        <c:noMultiLvlLbl val="0"/>
      </c:catAx>
      <c:valAx>
        <c:axId val="288840047"/>
        <c:scaling>
          <c:orientation val="minMax"/>
        </c:scaling>
        <c:delete val="1"/>
        <c:axPos val="l"/>
        <c:numFmt formatCode="0" sourceLinked="1"/>
        <c:majorTickMark val="none"/>
        <c:minorTickMark val="none"/>
        <c:tickLblPos val="nextTo"/>
        <c:crossAx val="5884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289934521090301"/>
                  <c:h val="0.28854313101948525"/>
                </c:manualLayout>
              </c15:layout>
            </c:ext>
          </c:extLst>
        </c:dLbl>
      </c:pivotFmt>
      <c:pivotFmt>
        <c:idx val="6"/>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25689051317192"/>
                  <c:h val="0.28854313101948525"/>
                </c:manualLayout>
              </c15:layout>
            </c:ext>
          </c:extLst>
        </c:dLbl>
      </c:pivotFmt>
    </c:pivotFmts>
    <c:plotArea>
      <c:layout>
        <c:manualLayout>
          <c:layoutTarget val="inner"/>
          <c:xMode val="edge"/>
          <c:yMode val="edge"/>
          <c:x val="9.0127813222860301E-2"/>
          <c:y val="0.13157745079508978"/>
          <c:w val="0.7940638280884087"/>
          <c:h val="0.75840522273594557"/>
        </c:manualLayout>
      </c:layout>
      <c:pieChart>
        <c:varyColors val="1"/>
        <c:ser>
          <c:idx val="0"/>
          <c:order val="0"/>
          <c:tx>
            <c:strRef>
              <c:f>'Pivot Report'!$Q$29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24289934521090301"/>
                      <c:h val="0.28854313101948525"/>
                    </c:manualLayout>
                  </c15:layout>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525689051317192"/>
                      <c:h val="0.2885431310194852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Report'!$P$30:$P$32</c:f>
              <c:strCache>
                <c:ptCount val="2"/>
                <c:pt idx="0">
                  <c:v>Delay</c:v>
                </c:pt>
                <c:pt idx="1">
                  <c:v>Ontime</c:v>
                </c:pt>
              </c:strCache>
            </c:strRef>
          </c:cat>
          <c:val>
            <c:numRef>
              <c:f>'Pivot Report'!$Q$30:$Q$32</c:f>
              <c:numCache>
                <c:formatCode>0.0</c:formatCode>
                <c:ptCount val="2"/>
                <c:pt idx="0">
                  <c:v>316</c:v>
                </c:pt>
                <c:pt idx="1">
                  <c:v>197</c:v>
                </c:pt>
              </c:numCache>
            </c:numRef>
          </c:val>
          <c:extLst>
            <c:ext xmlns:c16="http://schemas.microsoft.com/office/drawing/2014/chart" uri="{C3380CC4-5D6E-409C-BE32-E72D297353CC}">
              <c16:uniqueId val="{00000005-FE11-45B3-91B0-CEA1B2D1F81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Entry>
      <c:layout>
        <c:manualLayout>
          <c:xMode val="edge"/>
          <c:yMode val="edge"/>
          <c:x val="0.11251805021296217"/>
          <c:y val="3.0865953354356525E-3"/>
          <c:w val="0.77618106493192207"/>
          <c:h val="0.11312861789167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5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2232070629585204"/>
          <c:y val="0.16209306922746508"/>
          <c:w val="0.58920053557979302"/>
          <c:h val="0.62788063809896089"/>
        </c:manualLayout>
      </c:layout>
      <c:pieChart>
        <c:varyColors val="1"/>
        <c:ser>
          <c:idx val="0"/>
          <c:order val="0"/>
          <c:tx>
            <c:strRef>
              <c:f>'Pivot Report'!$Q$35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Report'!$P$36:$P$38</c:f>
              <c:strCache>
                <c:ptCount val="2"/>
                <c:pt idx="0">
                  <c:v>Female</c:v>
                </c:pt>
                <c:pt idx="1">
                  <c:v>Male</c:v>
                </c:pt>
              </c:strCache>
            </c:strRef>
          </c:cat>
          <c:val>
            <c:numRef>
              <c:f>'Pivot Report'!$Q$36:$Q$38</c:f>
              <c:numCache>
                <c:formatCode>0.00</c:formatCode>
                <c:ptCount val="2"/>
                <c:pt idx="0">
                  <c:v>241</c:v>
                </c:pt>
                <c:pt idx="1">
                  <c:v>272</c:v>
                </c:pt>
              </c:numCache>
            </c:numRef>
          </c:val>
          <c:extLst>
            <c:ext xmlns:c16="http://schemas.microsoft.com/office/drawing/2014/chart" uri="{C3380CC4-5D6E-409C-BE32-E72D297353CC}">
              <c16:uniqueId val="{00000005-EB43-41F7-9F1C-D57BEEBDB7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
          <c:y val="3.0084339303755651E-2"/>
          <c:w val="0.99622692169380944"/>
          <c:h val="0.15416515454892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66756550796362"/>
          <c:y val="9.6975087477743221E-3"/>
          <c:w val="0.75618175853018377"/>
          <c:h val="0.94246426125326632"/>
        </c:manualLayout>
      </c:layout>
      <c:barChart>
        <c:barDir val="bar"/>
        <c:grouping val="clustered"/>
        <c:varyColors val="0"/>
        <c:ser>
          <c:idx val="0"/>
          <c:order val="0"/>
          <c:tx>
            <c:strRef>
              <c:f>'Pivot Report'!$Q$43</c:f>
              <c:strCache>
                <c:ptCount val="1"/>
                <c:pt idx="0">
                  <c:v>Total</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Report'!$P$44:$P$52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Report'!$Q$44:$Q$52</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1-67A3-4008-BD54-66C69A80B816}"/>
            </c:ext>
          </c:extLst>
        </c:ser>
        <c:dLbls>
          <c:showLegendKey val="0"/>
          <c:showVal val="0"/>
          <c:showCatName val="0"/>
          <c:showSerName val="0"/>
          <c:showPercent val="0"/>
          <c:showBubbleSize val="0"/>
        </c:dLbls>
        <c:gapWidth val="182"/>
        <c:axId val="330941743"/>
        <c:axId val="288856847"/>
      </c:barChart>
      <c:catAx>
        <c:axId val="33094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crossAx val="288856847"/>
        <c:crosses val="autoZero"/>
        <c:auto val="1"/>
        <c:lblAlgn val="ctr"/>
        <c:lblOffset val="100"/>
        <c:noMultiLvlLbl val="0"/>
      </c:catAx>
      <c:valAx>
        <c:axId val="288856847"/>
        <c:scaling>
          <c:orientation val="minMax"/>
        </c:scaling>
        <c:delete val="1"/>
        <c:axPos val="b"/>
        <c:numFmt formatCode="0" sourceLinked="1"/>
        <c:majorTickMark val="none"/>
        <c:minorTickMark val="none"/>
        <c:tickLblPos val="nextTo"/>
        <c:crossAx val="3309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7.emf"/><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4</xdr:col>
      <xdr:colOff>406400</xdr:colOff>
      <xdr:row>2</xdr:row>
      <xdr:rowOff>177800</xdr:rowOff>
    </xdr:from>
    <xdr:to>
      <xdr:col>7</xdr:col>
      <xdr:colOff>406400</xdr:colOff>
      <xdr:row>17</xdr:row>
      <xdr:rowOff>34922</xdr:rowOff>
    </xdr:to>
    <mc:AlternateContent xmlns:mc="http://schemas.openxmlformats.org/markup-compatibility/2006" xmlns:a14="http://schemas.microsoft.com/office/drawing/2010/main">
      <mc:Choice Requires="a14">
        <xdr:graphicFrame macro="">
          <xdr:nvGraphicFramePr>
            <xdr:cNvPr id="2" name="Dates (Month)">
              <a:extLst>
                <a:ext uri="{FF2B5EF4-FFF2-40B4-BE49-F238E27FC236}">
                  <a16:creationId xmlns:a16="http://schemas.microsoft.com/office/drawing/2014/main" id="{AD7E16BE-AD04-96CD-08EF-4BF617A029D5}"/>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6623050" y="546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300567</xdr:colOff>
      <xdr:row>20</xdr:row>
      <xdr:rowOff>32565</xdr:rowOff>
    </xdr:from>
    <xdr:to>
      <xdr:col>7</xdr:col>
      <xdr:colOff>373837</xdr:colOff>
      <xdr:row>25</xdr:row>
      <xdr:rowOff>128955</xdr:rowOff>
    </xdr:to>
    <xdr:graphicFrame macro="">
      <xdr:nvGraphicFramePr>
        <xdr:cNvPr id="3" name="Chart 2">
          <a:extLst>
            <a:ext uri="{FF2B5EF4-FFF2-40B4-BE49-F238E27FC236}">
              <a16:creationId xmlns:a16="http://schemas.microsoft.com/office/drawing/2014/main" id="{1EACC2AC-BE98-EED8-DA78-2A11B4480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69001</xdr:colOff>
      <xdr:row>10</xdr:row>
      <xdr:rowOff>81085</xdr:rowOff>
    </xdr:from>
    <xdr:to>
      <xdr:col>20</xdr:col>
      <xdr:colOff>439617</xdr:colOff>
      <xdr:row>13</xdr:row>
      <xdr:rowOff>3563</xdr:rowOff>
    </xdr:to>
    <xdr:graphicFrame macro="">
      <xdr:nvGraphicFramePr>
        <xdr:cNvPr id="7" name="Chart 6">
          <a:extLst>
            <a:ext uri="{FF2B5EF4-FFF2-40B4-BE49-F238E27FC236}">
              <a16:creationId xmlns:a16="http://schemas.microsoft.com/office/drawing/2014/main" id="{C2E7DB45-587F-49CD-B78D-5566AF06B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307145</xdr:colOff>
      <xdr:row>38</xdr:row>
      <xdr:rowOff>103030</xdr:rowOff>
    </xdr:from>
    <xdr:to>
      <xdr:col>15</xdr:col>
      <xdr:colOff>911712</xdr:colOff>
      <xdr:row>45</xdr:row>
      <xdr:rowOff>11441</xdr:rowOff>
    </xdr:to>
    <mc:AlternateContent xmlns:mc="http://schemas.openxmlformats.org/markup-compatibility/2006">
      <mc:Choice xmlns:a14="http://schemas.microsoft.com/office/drawing/2010/main" Requires="a14">
        <xdr:graphicFrame macro="">
          <xdr:nvGraphicFramePr>
            <xdr:cNvPr id="13" name="Dates (Year)">
              <a:extLst>
                <a:ext uri="{FF2B5EF4-FFF2-40B4-BE49-F238E27FC236}">
                  <a16:creationId xmlns:a16="http://schemas.microsoft.com/office/drawing/2014/main" id="{0A46445B-AD0E-8A0E-BC2C-18D1F7E0D6A1}"/>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16157405" y="6997316"/>
              <a:ext cx="1825086" cy="117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46868</xdr:colOff>
      <xdr:row>0</xdr:row>
      <xdr:rowOff>40824</xdr:rowOff>
    </xdr:from>
    <xdr:to>
      <xdr:col>5</xdr:col>
      <xdr:colOff>132247</xdr:colOff>
      <xdr:row>2</xdr:row>
      <xdr:rowOff>160767</xdr:rowOff>
    </xdr:to>
    <xdr:sp macro="" textlink="">
      <xdr:nvSpPr>
        <xdr:cNvPr id="2" name="Rectangle: Rounded Corners 1">
          <a:extLst>
            <a:ext uri="{FF2B5EF4-FFF2-40B4-BE49-F238E27FC236}">
              <a16:creationId xmlns:a16="http://schemas.microsoft.com/office/drawing/2014/main" id="{283BE0BA-7DD9-3332-440D-B975F632CE62}"/>
            </a:ext>
          </a:extLst>
        </xdr:cNvPr>
        <xdr:cNvSpPr/>
      </xdr:nvSpPr>
      <xdr:spPr>
        <a:xfrm>
          <a:off x="46868" y="40824"/>
          <a:ext cx="3155346" cy="492275"/>
        </a:xfrm>
        <a:prstGeom prst="roundRect">
          <a:avLst>
            <a:gd name="adj" fmla="val 1362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49590</xdr:colOff>
      <xdr:row>3</xdr:row>
      <xdr:rowOff>33030</xdr:rowOff>
    </xdr:from>
    <xdr:to>
      <xdr:col>1</xdr:col>
      <xdr:colOff>63643</xdr:colOff>
      <xdr:row>15</xdr:row>
      <xdr:rowOff>111415</xdr:rowOff>
    </xdr:to>
    <xdr:sp macro="" textlink="">
      <xdr:nvSpPr>
        <xdr:cNvPr id="6" name="Rectangle: Rounded Corners 5">
          <a:extLst>
            <a:ext uri="{FF2B5EF4-FFF2-40B4-BE49-F238E27FC236}">
              <a16:creationId xmlns:a16="http://schemas.microsoft.com/office/drawing/2014/main" id="{3071B5C3-2A6F-7899-9DB5-A4819C619E5E}"/>
            </a:ext>
          </a:extLst>
        </xdr:cNvPr>
        <xdr:cNvSpPr/>
      </xdr:nvSpPr>
      <xdr:spPr>
        <a:xfrm>
          <a:off x="49590" y="595923"/>
          <a:ext cx="629023" cy="2329961"/>
        </a:xfrm>
        <a:prstGeom prst="roundRect">
          <a:avLst>
            <a:gd name="adj" fmla="val 1058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209174</xdr:colOff>
      <xdr:row>0</xdr:row>
      <xdr:rowOff>43544</xdr:rowOff>
    </xdr:from>
    <xdr:to>
      <xdr:col>6</xdr:col>
      <xdr:colOff>604595</xdr:colOff>
      <xdr:row>2</xdr:row>
      <xdr:rowOff>163487</xdr:rowOff>
    </xdr:to>
    <xdr:sp macro="" textlink="">
      <xdr:nvSpPr>
        <xdr:cNvPr id="9" name="Rectangle: Rounded Corners 8">
          <a:extLst>
            <a:ext uri="{FF2B5EF4-FFF2-40B4-BE49-F238E27FC236}">
              <a16:creationId xmlns:a16="http://schemas.microsoft.com/office/drawing/2014/main" id="{6BFC84A1-534D-2E4C-C20A-A29BA1C73B91}"/>
            </a:ext>
          </a:extLst>
        </xdr:cNvPr>
        <xdr:cNvSpPr/>
      </xdr:nvSpPr>
      <xdr:spPr>
        <a:xfrm>
          <a:off x="3286780" y="43544"/>
          <a:ext cx="1014984" cy="496381"/>
        </a:xfrm>
        <a:prstGeom prst="roundRect">
          <a:avLst>
            <a:gd name="adj" fmla="val 12705"/>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326161</xdr:colOff>
      <xdr:row>0</xdr:row>
      <xdr:rowOff>33566</xdr:rowOff>
    </xdr:from>
    <xdr:to>
      <xdr:col>11</xdr:col>
      <xdr:colOff>550813</xdr:colOff>
      <xdr:row>7</xdr:row>
      <xdr:rowOff>36689</xdr:rowOff>
    </xdr:to>
    <xdr:sp macro="" textlink="">
      <xdr:nvSpPr>
        <xdr:cNvPr id="10" name="Rectangle: Rounded Corners 9">
          <a:extLst>
            <a:ext uri="{FF2B5EF4-FFF2-40B4-BE49-F238E27FC236}">
              <a16:creationId xmlns:a16="http://schemas.microsoft.com/office/drawing/2014/main" id="{440BDA28-2D2D-4725-A739-689A0663D292}"/>
            </a:ext>
          </a:extLst>
        </xdr:cNvPr>
        <xdr:cNvSpPr/>
      </xdr:nvSpPr>
      <xdr:spPr>
        <a:xfrm>
          <a:off x="5865853" y="33566"/>
          <a:ext cx="1455695" cy="1320655"/>
        </a:xfrm>
        <a:prstGeom prst="roundRect">
          <a:avLst>
            <a:gd name="adj" fmla="val 9479"/>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62806</xdr:colOff>
      <xdr:row>0</xdr:row>
      <xdr:rowOff>47172</xdr:rowOff>
    </xdr:from>
    <xdr:to>
      <xdr:col>9</xdr:col>
      <xdr:colOff>287459</xdr:colOff>
      <xdr:row>7</xdr:row>
      <xdr:rowOff>50295</xdr:rowOff>
    </xdr:to>
    <xdr:sp macro="" textlink="">
      <xdr:nvSpPr>
        <xdr:cNvPr id="11" name="Rectangle: Rounded Corners 10">
          <a:extLst>
            <a:ext uri="{FF2B5EF4-FFF2-40B4-BE49-F238E27FC236}">
              <a16:creationId xmlns:a16="http://schemas.microsoft.com/office/drawing/2014/main" id="{B7EEB06A-BF3F-9826-C8E0-940F4BFD95A6}"/>
            </a:ext>
          </a:extLst>
        </xdr:cNvPr>
        <xdr:cNvSpPr/>
      </xdr:nvSpPr>
      <xdr:spPr>
        <a:xfrm>
          <a:off x="4371456" y="47172"/>
          <a:ext cx="1455695" cy="1320655"/>
        </a:xfrm>
        <a:prstGeom prst="roundRect">
          <a:avLst>
            <a:gd name="adj" fmla="val 9479"/>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91264</xdr:colOff>
      <xdr:row>3</xdr:row>
      <xdr:rowOff>8469</xdr:rowOff>
    </xdr:from>
    <xdr:to>
      <xdr:col>3</xdr:col>
      <xdr:colOff>18961</xdr:colOff>
      <xdr:row>7</xdr:row>
      <xdr:rowOff>49390</xdr:rowOff>
    </xdr:to>
    <xdr:sp macro="" textlink="">
      <xdr:nvSpPr>
        <xdr:cNvPr id="12" name="Rectangle: Rounded Corners 11">
          <a:extLst>
            <a:ext uri="{FF2B5EF4-FFF2-40B4-BE49-F238E27FC236}">
              <a16:creationId xmlns:a16="http://schemas.microsoft.com/office/drawing/2014/main" id="{B4895BAA-35CB-4CA0-8F38-83E9386A37C6}"/>
            </a:ext>
          </a:extLst>
        </xdr:cNvPr>
        <xdr:cNvSpPr/>
      </xdr:nvSpPr>
      <xdr:spPr>
        <a:xfrm>
          <a:off x="706785" y="573125"/>
          <a:ext cx="1158739" cy="793797"/>
        </a:xfrm>
        <a:prstGeom prst="roundRect">
          <a:avLst>
            <a:gd name="adj" fmla="val 10024"/>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86156</xdr:colOff>
      <xdr:row>3</xdr:row>
      <xdr:rowOff>6654</xdr:rowOff>
    </xdr:from>
    <xdr:to>
      <xdr:col>5</xdr:col>
      <xdr:colOff>10440</xdr:colOff>
      <xdr:row>7</xdr:row>
      <xdr:rowOff>47575</xdr:rowOff>
    </xdr:to>
    <xdr:sp macro="" textlink="">
      <xdr:nvSpPr>
        <xdr:cNvPr id="17" name="Rectangle: Rounded Corners 16">
          <a:extLst>
            <a:ext uri="{FF2B5EF4-FFF2-40B4-BE49-F238E27FC236}">
              <a16:creationId xmlns:a16="http://schemas.microsoft.com/office/drawing/2014/main" id="{0BD9811E-4CF2-41F4-A8DB-FDFC3DDABA37}"/>
            </a:ext>
          </a:extLst>
        </xdr:cNvPr>
        <xdr:cNvSpPr/>
      </xdr:nvSpPr>
      <xdr:spPr>
        <a:xfrm>
          <a:off x="1932719" y="571310"/>
          <a:ext cx="1155327" cy="793797"/>
        </a:xfrm>
        <a:prstGeom prst="roundRect">
          <a:avLst>
            <a:gd name="adj" fmla="val 10024"/>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71735</xdr:colOff>
      <xdr:row>3</xdr:row>
      <xdr:rowOff>9377</xdr:rowOff>
    </xdr:from>
    <xdr:to>
      <xdr:col>7</xdr:col>
      <xdr:colOff>1808</xdr:colOff>
      <xdr:row>7</xdr:row>
      <xdr:rowOff>50298</xdr:rowOff>
    </xdr:to>
    <xdr:sp macro="" textlink="">
      <xdr:nvSpPr>
        <xdr:cNvPr id="18" name="Rectangle: Rounded Corners 17">
          <a:extLst>
            <a:ext uri="{FF2B5EF4-FFF2-40B4-BE49-F238E27FC236}">
              <a16:creationId xmlns:a16="http://schemas.microsoft.com/office/drawing/2014/main" id="{205F08B7-C29B-4A46-B706-BE1946CDF3EE}"/>
            </a:ext>
          </a:extLst>
        </xdr:cNvPr>
        <xdr:cNvSpPr/>
      </xdr:nvSpPr>
      <xdr:spPr>
        <a:xfrm>
          <a:off x="3149341" y="574033"/>
          <a:ext cx="1155328" cy="793797"/>
        </a:xfrm>
        <a:prstGeom prst="roundRect">
          <a:avLst>
            <a:gd name="adj" fmla="val 10024"/>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70063</xdr:colOff>
      <xdr:row>7</xdr:row>
      <xdr:rowOff>131034</xdr:rowOff>
    </xdr:from>
    <xdr:to>
      <xdr:col>11</xdr:col>
      <xdr:colOff>600294</xdr:colOff>
      <xdr:row>15</xdr:row>
      <xdr:rowOff>77223</xdr:rowOff>
    </xdr:to>
    <xdr:sp macro="" textlink="">
      <xdr:nvSpPr>
        <xdr:cNvPr id="19" name="Rectangle: Rounded Corners 18">
          <a:extLst>
            <a:ext uri="{FF2B5EF4-FFF2-40B4-BE49-F238E27FC236}">
              <a16:creationId xmlns:a16="http://schemas.microsoft.com/office/drawing/2014/main" id="{AF52E537-593F-46D0-B40E-C8FF884E2906}"/>
            </a:ext>
          </a:extLst>
        </xdr:cNvPr>
        <xdr:cNvSpPr/>
      </xdr:nvSpPr>
      <xdr:spPr>
        <a:xfrm>
          <a:off x="4355861" y="1436854"/>
          <a:ext cx="2980033" cy="1438556"/>
        </a:xfrm>
        <a:prstGeom prst="roundRect">
          <a:avLst>
            <a:gd name="adj" fmla="val 9135"/>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95090</xdr:colOff>
      <xdr:row>9</xdr:row>
      <xdr:rowOff>154213</xdr:rowOff>
    </xdr:from>
    <xdr:to>
      <xdr:col>7</xdr:col>
      <xdr:colOff>18065</xdr:colOff>
      <xdr:row>15</xdr:row>
      <xdr:rowOff>91877</xdr:rowOff>
    </xdr:to>
    <xdr:sp macro="" textlink="">
      <xdr:nvSpPr>
        <xdr:cNvPr id="20" name="Rectangle: Rounded Corners 19">
          <a:extLst>
            <a:ext uri="{FF2B5EF4-FFF2-40B4-BE49-F238E27FC236}">
              <a16:creationId xmlns:a16="http://schemas.microsoft.com/office/drawing/2014/main" id="{0DA6C818-23A7-4C58-9F83-0B7F69A676B2}"/>
            </a:ext>
          </a:extLst>
        </xdr:cNvPr>
        <xdr:cNvSpPr/>
      </xdr:nvSpPr>
      <xdr:spPr>
        <a:xfrm>
          <a:off x="710060" y="1842894"/>
          <a:ext cx="3612798" cy="1063452"/>
        </a:xfrm>
        <a:prstGeom prst="roundRect">
          <a:avLst>
            <a:gd name="adj" fmla="val 6728"/>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88739</xdr:colOff>
      <xdr:row>7</xdr:row>
      <xdr:rowOff>74788</xdr:rowOff>
    </xdr:from>
    <xdr:to>
      <xdr:col>7</xdr:col>
      <xdr:colOff>11714</xdr:colOff>
      <xdr:row>9</xdr:row>
      <xdr:rowOff>122464</xdr:rowOff>
    </xdr:to>
    <xdr:sp macro="" textlink="">
      <xdr:nvSpPr>
        <xdr:cNvPr id="21" name="Rectangle: Rounded Corners 20">
          <a:extLst>
            <a:ext uri="{FF2B5EF4-FFF2-40B4-BE49-F238E27FC236}">
              <a16:creationId xmlns:a16="http://schemas.microsoft.com/office/drawing/2014/main" id="{3B9B9FBC-A102-4403-B2C6-4FA154E03278}"/>
            </a:ext>
          </a:extLst>
        </xdr:cNvPr>
        <xdr:cNvSpPr/>
      </xdr:nvSpPr>
      <xdr:spPr>
        <a:xfrm>
          <a:off x="704260" y="1392320"/>
          <a:ext cx="3616104" cy="424114"/>
        </a:xfrm>
        <a:prstGeom prst="roundRect">
          <a:avLst>
            <a:gd name="adj" fmla="val 16364"/>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27520</xdr:colOff>
      <xdr:row>0</xdr:row>
      <xdr:rowOff>38100</xdr:rowOff>
    </xdr:from>
    <xdr:to>
      <xdr:col>5</xdr:col>
      <xdr:colOff>93137</xdr:colOff>
      <xdr:row>2</xdr:row>
      <xdr:rowOff>152400</xdr:rowOff>
    </xdr:to>
    <xdr:sp macro="" textlink="">
      <xdr:nvSpPr>
        <xdr:cNvPr id="22" name="TextBox 21">
          <a:extLst>
            <a:ext uri="{FF2B5EF4-FFF2-40B4-BE49-F238E27FC236}">
              <a16:creationId xmlns:a16="http://schemas.microsoft.com/office/drawing/2014/main" id="{45611B61-4011-413F-780C-5678D79590E9}"/>
            </a:ext>
          </a:extLst>
        </xdr:cNvPr>
        <xdr:cNvSpPr txBox="1"/>
      </xdr:nvSpPr>
      <xdr:spPr>
        <a:xfrm>
          <a:off x="637120" y="38100"/>
          <a:ext cx="2504017"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Hospital Emergency Room Dashboard</a:t>
          </a:r>
        </a:p>
        <a:p>
          <a:pPr algn="ctr"/>
          <a:r>
            <a:rPr lang="en-IN" sz="800"/>
            <a:t>Monthly</a:t>
          </a:r>
          <a:r>
            <a:rPr lang="en-IN" sz="800" baseline="0"/>
            <a:t> Report</a:t>
          </a:r>
          <a:endParaRPr lang="en-IN" sz="800"/>
        </a:p>
      </xdr:txBody>
    </xdr:sp>
    <xdr:clientData/>
  </xdr:twoCellAnchor>
  <xdr:oneCellAnchor>
    <xdr:from>
      <xdr:col>1</xdr:col>
      <xdr:colOff>110067</xdr:colOff>
      <xdr:row>4</xdr:row>
      <xdr:rowOff>76196</xdr:rowOff>
    </xdr:from>
    <xdr:ext cx="1113366" cy="182033"/>
    <xdr:sp macro="" textlink="">
      <xdr:nvSpPr>
        <xdr:cNvPr id="3" name="TextBox 2">
          <a:extLst>
            <a:ext uri="{FF2B5EF4-FFF2-40B4-BE49-F238E27FC236}">
              <a16:creationId xmlns:a16="http://schemas.microsoft.com/office/drawing/2014/main" id="{B490CAD0-5E2B-8168-2B50-7A3FBDCB97CC}"/>
            </a:ext>
          </a:extLst>
        </xdr:cNvPr>
        <xdr:cNvSpPr txBox="1"/>
      </xdr:nvSpPr>
      <xdr:spPr>
        <a:xfrm>
          <a:off x="719667" y="821263"/>
          <a:ext cx="1113366" cy="18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000"/>
            <a:t>No. Of Patients</a:t>
          </a:r>
        </a:p>
      </xdr:txBody>
    </xdr:sp>
    <xdr:clientData/>
  </xdr:oneCellAnchor>
  <xdr:oneCellAnchor>
    <xdr:from>
      <xdr:col>1</xdr:col>
      <xdr:colOff>113662</xdr:colOff>
      <xdr:row>3</xdr:row>
      <xdr:rowOff>44773</xdr:rowOff>
    </xdr:from>
    <xdr:ext cx="1113366" cy="182033"/>
    <xdr:sp macro="" textlink="$Q$3">
      <xdr:nvSpPr>
        <xdr:cNvPr id="8" name="TextBox 7">
          <a:extLst>
            <a:ext uri="{FF2B5EF4-FFF2-40B4-BE49-F238E27FC236}">
              <a16:creationId xmlns:a16="http://schemas.microsoft.com/office/drawing/2014/main" id="{1B00F703-221D-48B8-91B7-180374B7292F}"/>
            </a:ext>
          </a:extLst>
        </xdr:cNvPr>
        <xdr:cNvSpPr txBox="1"/>
      </xdr:nvSpPr>
      <xdr:spPr>
        <a:xfrm>
          <a:off x="722744" y="598778"/>
          <a:ext cx="1113366" cy="18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7D0FAB8-207A-4C93-AAA5-2825BFB5D0BC}" type="TxLink">
            <a:rPr lang="en-US" sz="1100" b="0" i="0" u="none" strike="noStrike">
              <a:solidFill>
                <a:srgbClr val="000000"/>
              </a:solidFill>
              <a:latin typeface="Aptos Narrow"/>
            </a:rPr>
            <a:pPr algn="ctr"/>
            <a:t>513</a:t>
          </a:fld>
          <a:endParaRPr lang="en-IN" sz="1000"/>
        </a:p>
      </xdr:txBody>
    </xdr:sp>
    <xdr:clientData/>
  </xdr:oneCellAnchor>
  <xdr:oneCellAnchor>
    <xdr:from>
      <xdr:col>5</xdr:col>
      <xdr:colOff>91304</xdr:colOff>
      <xdr:row>4</xdr:row>
      <xdr:rowOff>22366</xdr:rowOff>
    </xdr:from>
    <xdr:ext cx="1169145" cy="313502"/>
    <xdr:sp macro="" textlink="">
      <xdr:nvSpPr>
        <xdr:cNvPr id="13" name="TextBox 12">
          <a:extLst>
            <a:ext uri="{FF2B5EF4-FFF2-40B4-BE49-F238E27FC236}">
              <a16:creationId xmlns:a16="http://schemas.microsoft.com/office/drawing/2014/main" id="{17BB43D6-7887-48D8-960A-46251E86EFFD}"/>
            </a:ext>
          </a:extLst>
        </xdr:cNvPr>
        <xdr:cNvSpPr txBox="1"/>
      </xdr:nvSpPr>
      <xdr:spPr>
        <a:xfrm>
          <a:off x="3135106" y="757077"/>
          <a:ext cx="1169145" cy="313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750"/>
            <a:t>Patient</a:t>
          </a:r>
          <a:r>
            <a:rPr lang="en-IN" sz="750" baseline="0"/>
            <a:t> Satisfaction Score</a:t>
          </a:r>
          <a:endParaRPr lang="en-IN" sz="750"/>
        </a:p>
      </xdr:txBody>
    </xdr:sp>
    <xdr:clientData/>
  </xdr:oneCellAnchor>
  <xdr:oneCellAnchor>
    <xdr:from>
      <xdr:col>5</xdr:col>
      <xdr:colOff>77529</xdr:colOff>
      <xdr:row>3</xdr:row>
      <xdr:rowOff>58466</xdr:rowOff>
    </xdr:from>
    <xdr:ext cx="1113366" cy="182033"/>
    <xdr:sp macro="" textlink="$Q$6">
      <xdr:nvSpPr>
        <xdr:cNvPr id="14" name="TextBox 13">
          <a:extLst>
            <a:ext uri="{FF2B5EF4-FFF2-40B4-BE49-F238E27FC236}">
              <a16:creationId xmlns:a16="http://schemas.microsoft.com/office/drawing/2014/main" id="{D563E355-FBE7-42A6-9457-3343A3429B67}"/>
            </a:ext>
          </a:extLst>
        </xdr:cNvPr>
        <xdr:cNvSpPr txBox="1"/>
      </xdr:nvSpPr>
      <xdr:spPr>
        <a:xfrm>
          <a:off x="3133168" y="617075"/>
          <a:ext cx="1113366" cy="18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3953B70-2323-40FE-8AE5-5C7EFF842D23}" type="TxLink">
            <a:rPr lang="en-US" sz="1100" b="0" i="0" u="none" strike="noStrike">
              <a:solidFill>
                <a:srgbClr val="000000"/>
              </a:solidFill>
              <a:latin typeface="Aptos Narrow"/>
            </a:rPr>
            <a:pPr algn="ctr"/>
            <a:t>4.96</a:t>
          </a:fld>
          <a:endParaRPr lang="en-IN" sz="1000"/>
        </a:p>
      </xdr:txBody>
    </xdr:sp>
    <xdr:clientData/>
  </xdr:oneCellAnchor>
  <xdr:oneCellAnchor>
    <xdr:from>
      <xdr:col>3</xdr:col>
      <xdr:colOff>105257</xdr:colOff>
      <xdr:row>4</xdr:row>
      <xdr:rowOff>78333</xdr:rowOff>
    </xdr:from>
    <xdr:ext cx="1113366" cy="182033"/>
    <xdr:sp macro="" textlink="">
      <xdr:nvSpPr>
        <xdr:cNvPr id="15" name="TextBox 14">
          <a:extLst>
            <a:ext uri="{FF2B5EF4-FFF2-40B4-BE49-F238E27FC236}">
              <a16:creationId xmlns:a16="http://schemas.microsoft.com/office/drawing/2014/main" id="{6FF19522-BFE7-4A69-9FCB-EA3E93D9C52E}"/>
            </a:ext>
          </a:extLst>
        </xdr:cNvPr>
        <xdr:cNvSpPr txBox="1"/>
      </xdr:nvSpPr>
      <xdr:spPr>
        <a:xfrm>
          <a:off x="1938640" y="823145"/>
          <a:ext cx="1113366" cy="18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000">
              <a:solidFill>
                <a:sysClr val="windowText" lastClr="000000"/>
              </a:solidFill>
            </a:rPr>
            <a:t>Average Wait</a:t>
          </a:r>
          <a:r>
            <a:rPr lang="en-IN" sz="1000" baseline="0">
              <a:solidFill>
                <a:sysClr val="windowText" lastClr="000000"/>
              </a:solidFill>
            </a:rPr>
            <a:t> Time</a:t>
          </a:r>
          <a:endParaRPr lang="en-IN" sz="1000">
            <a:solidFill>
              <a:sysClr val="windowText" lastClr="000000"/>
            </a:solidFill>
          </a:endParaRPr>
        </a:p>
      </xdr:txBody>
    </xdr:sp>
    <xdr:clientData/>
  </xdr:oneCellAnchor>
  <xdr:oneCellAnchor>
    <xdr:from>
      <xdr:col>3</xdr:col>
      <xdr:colOff>101029</xdr:colOff>
      <xdr:row>3</xdr:row>
      <xdr:rowOff>43761</xdr:rowOff>
    </xdr:from>
    <xdr:ext cx="1113366" cy="182033"/>
    <xdr:sp macro="" textlink="$Q$5">
      <xdr:nvSpPr>
        <xdr:cNvPr id="16" name="TextBox 15">
          <a:extLst>
            <a:ext uri="{FF2B5EF4-FFF2-40B4-BE49-F238E27FC236}">
              <a16:creationId xmlns:a16="http://schemas.microsoft.com/office/drawing/2014/main" id="{D16A491C-8DA5-435D-B6E0-0BADF6C96943}"/>
            </a:ext>
          </a:extLst>
        </xdr:cNvPr>
        <xdr:cNvSpPr txBox="1"/>
      </xdr:nvSpPr>
      <xdr:spPr>
        <a:xfrm>
          <a:off x="1934412" y="602370"/>
          <a:ext cx="1113366" cy="18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1DFD242-A8F1-4A51-94A6-E545F833D8C5}" type="TxLink">
            <a:rPr lang="en-US" sz="1100" b="0" i="0" u="none" strike="noStrike">
              <a:solidFill>
                <a:srgbClr val="000000"/>
              </a:solidFill>
              <a:latin typeface="Aptos Narrow"/>
            </a:rPr>
            <a:pPr algn="ctr"/>
            <a:t>36.32</a:t>
          </a:fld>
          <a:endParaRPr lang="en-IN" sz="1000"/>
        </a:p>
      </xdr:txBody>
    </xdr:sp>
    <xdr:clientData/>
  </xdr:oneCellAnchor>
  <xdr:twoCellAnchor editAs="oneCell">
    <xdr:from>
      <xdr:col>4</xdr:col>
      <xdr:colOff>377181</xdr:colOff>
      <xdr:row>3</xdr:row>
      <xdr:rowOff>47746</xdr:rowOff>
    </xdr:from>
    <xdr:to>
      <xdr:col>4</xdr:col>
      <xdr:colOff>601579</xdr:colOff>
      <xdr:row>4</xdr:row>
      <xdr:rowOff>83924</xdr:rowOff>
    </xdr:to>
    <xdr:pic>
      <xdr:nvPicPr>
        <xdr:cNvPr id="24" name="Graphic 23" descr="Hourglass 60% with solid fill">
          <a:extLst>
            <a:ext uri="{FF2B5EF4-FFF2-40B4-BE49-F238E27FC236}">
              <a16:creationId xmlns:a16="http://schemas.microsoft.com/office/drawing/2014/main" id="{24327A37-CA7C-DA8D-89F9-2AFD63B541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21692" y="606355"/>
          <a:ext cx="224398" cy="224398"/>
        </a:xfrm>
        <a:prstGeom prst="rect">
          <a:avLst/>
        </a:prstGeom>
      </xdr:spPr>
    </xdr:pic>
    <xdr:clientData/>
  </xdr:twoCellAnchor>
  <xdr:twoCellAnchor editAs="oneCell">
    <xdr:from>
      <xdr:col>6</xdr:col>
      <xdr:colOff>334211</xdr:colOff>
      <xdr:row>3</xdr:row>
      <xdr:rowOff>31428</xdr:rowOff>
    </xdr:from>
    <xdr:to>
      <xdr:col>6</xdr:col>
      <xdr:colOff>596805</xdr:colOff>
      <xdr:row>4</xdr:row>
      <xdr:rowOff>105802</xdr:rowOff>
    </xdr:to>
    <xdr:pic>
      <xdr:nvPicPr>
        <xdr:cNvPr id="26" name="Graphic 25" descr="Comment Add with solid fill">
          <a:extLst>
            <a:ext uri="{FF2B5EF4-FFF2-40B4-BE49-F238E27FC236}">
              <a16:creationId xmlns:a16="http://schemas.microsoft.com/office/drawing/2014/main" id="{16D4A434-3148-847F-EF87-E47C88492A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00978" y="590037"/>
          <a:ext cx="262594" cy="262594"/>
        </a:xfrm>
        <a:prstGeom prst="rect">
          <a:avLst/>
        </a:prstGeom>
      </xdr:spPr>
    </xdr:pic>
    <xdr:clientData/>
  </xdr:twoCellAnchor>
  <xdr:twoCellAnchor editAs="oneCell">
    <xdr:from>
      <xdr:col>2</xdr:col>
      <xdr:colOff>395511</xdr:colOff>
      <xdr:row>3</xdr:row>
      <xdr:rowOff>15858</xdr:rowOff>
    </xdr:from>
    <xdr:to>
      <xdr:col>3</xdr:col>
      <xdr:colOff>25533</xdr:colOff>
      <xdr:row>4</xdr:row>
      <xdr:rowOff>71135</xdr:rowOff>
    </xdr:to>
    <xdr:pic>
      <xdr:nvPicPr>
        <xdr:cNvPr id="28" name="Graphic 27" descr="Male profile outline">
          <a:extLst>
            <a:ext uri="{FF2B5EF4-FFF2-40B4-BE49-F238E27FC236}">
              <a16:creationId xmlns:a16="http://schemas.microsoft.com/office/drawing/2014/main" id="{E1E61E15-1CDE-A22C-E3C7-EE476EB8C3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3674" y="569863"/>
          <a:ext cx="243497" cy="241962"/>
        </a:xfrm>
        <a:prstGeom prst="rect">
          <a:avLst/>
        </a:prstGeom>
      </xdr:spPr>
    </xdr:pic>
    <xdr:clientData/>
  </xdr:twoCellAnchor>
  <xdr:twoCellAnchor editAs="oneCell">
    <xdr:from>
      <xdr:col>0</xdr:col>
      <xdr:colOff>67017</xdr:colOff>
      <xdr:row>3</xdr:row>
      <xdr:rowOff>45684</xdr:rowOff>
    </xdr:from>
    <xdr:to>
      <xdr:col>1</xdr:col>
      <xdr:colOff>49339</xdr:colOff>
      <xdr:row>15</xdr:row>
      <xdr:rowOff>90018</xdr:rowOff>
    </xdr:to>
    <mc:AlternateContent xmlns:mc="http://schemas.openxmlformats.org/markup-compatibility/2006">
      <mc:Choice xmlns:a14="http://schemas.microsoft.com/office/drawing/2010/main" Requires="a14">
        <xdr:graphicFrame macro="">
          <xdr:nvGraphicFramePr>
            <xdr:cNvPr id="29" name="Dates (Month) ">
              <a:extLst>
                <a:ext uri="{FF2B5EF4-FFF2-40B4-BE49-F238E27FC236}">
                  <a16:creationId xmlns:a16="http://schemas.microsoft.com/office/drawing/2014/main" id="{A0BE13EB-CD1B-4E47-8902-8513A5F44522}"/>
                </a:ext>
              </a:extLst>
            </xdr:cNvPr>
            <xdr:cNvGraphicFramePr/>
          </xdr:nvGraphicFramePr>
          <xdr:xfrm>
            <a:off x="0" y="0"/>
            <a:ext cx="0" cy="0"/>
          </xdr:xfrm>
          <a:graphic>
            <a:graphicData uri="http://schemas.microsoft.com/office/drawing/2010/slicer">
              <sle:slicer xmlns:sle="http://schemas.microsoft.com/office/drawing/2010/slicer" name="Dates (Month) "/>
            </a:graphicData>
          </a:graphic>
        </xdr:graphicFrame>
      </mc:Choice>
      <mc:Fallback>
        <xdr:sp macro="" textlink="">
          <xdr:nvSpPr>
            <xdr:cNvPr id="0" name=""/>
            <xdr:cNvSpPr>
              <a:spLocks noTextEdit="1"/>
            </xdr:cNvSpPr>
          </xdr:nvSpPr>
          <xdr:spPr>
            <a:xfrm>
              <a:off x="67017" y="593698"/>
              <a:ext cx="591226" cy="2236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93829</xdr:colOff>
      <xdr:row>3</xdr:row>
      <xdr:rowOff>60779</xdr:rowOff>
    </xdr:from>
    <xdr:to>
      <xdr:col>3</xdr:col>
      <xdr:colOff>36735</xdr:colOff>
      <xdr:row>7</xdr:row>
      <xdr:rowOff>1922</xdr:rowOff>
    </xdr:to>
    <xdr:graphicFrame macro="">
      <xdr:nvGraphicFramePr>
        <xdr:cNvPr id="4" name="Chart 3">
          <a:extLst>
            <a:ext uri="{FF2B5EF4-FFF2-40B4-BE49-F238E27FC236}">
              <a16:creationId xmlns:a16="http://schemas.microsoft.com/office/drawing/2014/main" id="{497B1ABB-4CE2-4A67-8F72-8D24AB831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92378</xdr:colOff>
      <xdr:row>5</xdr:row>
      <xdr:rowOff>36736</xdr:rowOff>
    </xdr:from>
    <xdr:to>
      <xdr:col>5</xdr:col>
      <xdr:colOff>36735</xdr:colOff>
      <xdr:row>7</xdr:row>
      <xdr:rowOff>5248</xdr:rowOff>
    </xdr:to>
    <xdr:graphicFrame macro="">
      <xdr:nvGraphicFramePr>
        <xdr:cNvPr id="7" name="Chart 6">
          <a:extLst>
            <a:ext uri="{FF2B5EF4-FFF2-40B4-BE49-F238E27FC236}">
              <a16:creationId xmlns:a16="http://schemas.microsoft.com/office/drawing/2014/main" id="{0157B5E3-5DC8-4190-AF97-C344D4A7D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87559</xdr:colOff>
      <xdr:row>3</xdr:row>
      <xdr:rowOff>37599</xdr:rowOff>
    </xdr:from>
    <xdr:to>
      <xdr:col>7</xdr:col>
      <xdr:colOff>29074</xdr:colOff>
      <xdr:row>7</xdr:row>
      <xdr:rowOff>1839</xdr:rowOff>
    </xdr:to>
    <xdr:graphicFrame macro="">
      <xdr:nvGraphicFramePr>
        <xdr:cNvPr id="23" name="Chart 22">
          <a:extLst>
            <a:ext uri="{FF2B5EF4-FFF2-40B4-BE49-F238E27FC236}">
              <a16:creationId xmlns:a16="http://schemas.microsoft.com/office/drawing/2014/main" id="{32438BD4-4592-4818-A1AB-C52E524B9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102969</xdr:colOff>
          <xdr:row>7</xdr:row>
          <xdr:rowOff>134385</xdr:rowOff>
        </xdr:from>
        <xdr:to>
          <xdr:col>7</xdr:col>
          <xdr:colOff>15823</xdr:colOff>
          <xdr:row>9</xdr:row>
          <xdr:rowOff>89943</xdr:rowOff>
        </xdr:to>
        <xdr:pic>
          <xdr:nvPicPr>
            <xdr:cNvPr id="36" name="Picture 35">
              <a:extLst>
                <a:ext uri="{FF2B5EF4-FFF2-40B4-BE49-F238E27FC236}">
                  <a16:creationId xmlns:a16="http://schemas.microsoft.com/office/drawing/2014/main" id="{3AE5A7F8-F01F-5A5D-FF8A-462C8DE8B48B}"/>
                </a:ext>
              </a:extLst>
            </xdr:cNvPr>
            <xdr:cNvPicPr>
              <a:picLocks noChangeAspect="1" noChangeArrowheads="1"/>
              <a:extLst>
                <a:ext uri="{84589F7E-364E-4C9E-8A38-B11213B215E9}">
                  <a14:cameraTool cellRange="'Pivot Report'!$P$11:$U$13" spid="_x0000_s1058"/>
                </a:ext>
              </a:extLst>
            </xdr:cNvPicPr>
          </xdr:nvPicPr>
          <xdr:blipFill>
            <a:blip xmlns:r="http://schemas.openxmlformats.org/officeDocument/2006/relationships" r:embed="rId10"/>
            <a:srcRect/>
            <a:stretch>
              <a:fillRect/>
            </a:stretch>
          </xdr:blipFill>
          <xdr:spPr bwMode="auto">
            <a:xfrm>
              <a:off x="712126" y="1426536"/>
              <a:ext cx="3594158" cy="3287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169863</xdr:colOff>
      <xdr:row>0</xdr:row>
      <xdr:rowOff>68262</xdr:rowOff>
    </xdr:from>
    <xdr:to>
      <xdr:col>0</xdr:col>
      <xdr:colOff>580171</xdr:colOff>
      <xdr:row>2</xdr:row>
      <xdr:rowOff>103307</xdr:rowOff>
    </xdr:to>
    <xdr:pic>
      <xdr:nvPicPr>
        <xdr:cNvPr id="38" name="Graphic 37" descr="Hospital outline">
          <a:extLst>
            <a:ext uri="{FF2B5EF4-FFF2-40B4-BE49-F238E27FC236}">
              <a16:creationId xmlns:a16="http://schemas.microsoft.com/office/drawing/2014/main" id="{6953B95B-04C9-14F2-0C8D-932B715E8FC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9863" y="68262"/>
          <a:ext cx="410308" cy="407377"/>
        </a:xfrm>
        <a:prstGeom prst="rect">
          <a:avLst/>
        </a:prstGeom>
      </xdr:spPr>
    </xdr:pic>
    <xdr:clientData/>
  </xdr:twoCellAnchor>
  <xdr:twoCellAnchor>
    <xdr:from>
      <xdr:col>1</xdr:col>
      <xdr:colOff>223109</xdr:colOff>
      <xdr:row>9</xdr:row>
      <xdr:rowOff>160925</xdr:rowOff>
    </xdr:from>
    <xdr:to>
      <xdr:col>6</xdr:col>
      <xdr:colOff>543468</xdr:colOff>
      <xdr:row>14</xdr:row>
      <xdr:rowOff>165901</xdr:rowOff>
    </xdr:to>
    <xdr:graphicFrame macro="">
      <xdr:nvGraphicFramePr>
        <xdr:cNvPr id="39" name="Chart 38">
          <a:extLst>
            <a:ext uri="{FF2B5EF4-FFF2-40B4-BE49-F238E27FC236}">
              <a16:creationId xmlns:a16="http://schemas.microsoft.com/office/drawing/2014/main" id="{9661EC8C-C247-4FC8-8D1B-AD7F267CD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3</xdr:col>
      <xdr:colOff>4885</xdr:colOff>
      <xdr:row>14</xdr:row>
      <xdr:rowOff>112347</xdr:rowOff>
    </xdr:from>
    <xdr:ext cx="1316964" cy="217560"/>
    <xdr:sp macro="" textlink="">
      <xdr:nvSpPr>
        <xdr:cNvPr id="40" name="TextBox 39">
          <a:extLst>
            <a:ext uri="{FF2B5EF4-FFF2-40B4-BE49-F238E27FC236}">
              <a16:creationId xmlns:a16="http://schemas.microsoft.com/office/drawing/2014/main" id="{BFAD6074-6C58-6786-C4BD-905E0D75E979}"/>
            </a:ext>
          </a:extLst>
        </xdr:cNvPr>
        <xdr:cNvSpPr txBox="1"/>
      </xdr:nvSpPr>
      <xdr:spPr>
        <a:xfrm>
          <a:off x="1836616" y="2710962"/>
          <a:ext cx="131696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a:t>No. Of Patient By Age Group</a:t>
          </a:r>
        </a:p>
      </xdr:txBody>
    </xdr:sp>
    <xdr:clientData/>
  </xdr:oneCellAnchor>
  <xdr:twoCellAnchor>
    <xdr:from>
      <xdr:col>7</xdr:col>
      <xdr:colOff>157448</xdr:colOff>
      <xdr:row>0</xdr:row>
      <xdr:rowOff>88735</xdr:rowOff>
    </xdr:from>
    <xdr:to>
      <xdr:col>9</xdr:col>
      <xdr:colOff>255668</xdr:colOff>
      <xdr:row>6</xdr:row>
      <xdr:rowOff>91367</xdr:rowOff>
    </xdr:to>
    <xdr:graphicFrame macro="">
      <xdr:nvGraphicFramePr>
        <xdr:cNvPr id="41" name="Chart 40">
          <a:extLst>
            <a:ext uri="{FF2B5EF4-FFF2-40B4-BE49-F238E27FC236}">
              <a16:creationId xmlns:a16="http://schemas.microsoft.com/office/drawing/2014/main" id="{469A32F1-BAD7-4176-A778-CC99C75A3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7</xdr:col>
      <xdr:colOff>255828</xdr:colOff>
      <xdr:row>6</xdr:row>
      <xdr:rowOff>4568</xdr:rowOff>
    </xdr:from>
    <xdr:ext cx="1152175" cy="233205"/>
    <xdr:sp macro="" textlink="">
      <xdr:nvSpPr>
        <xdr:cNvPr id="42" name="TextBox 41">
          <a:extLst>
            <a:ext uri="{FF2B5EF4-FFF2-40B4-BE49-F238E27FC236}">
              <a16:creationId xmlns:a16="http://schemas.microsoft.com/office/drawing/2014/main" id="{8E8AFAB6-9AC8-7911-53D0-9D0C1B7EF310}"/>
            </a:ext>
          </a:extLst>
        </xdr:cNvPr>
        <xdr:cNvSpPr txBox="1"/>
      </xdr:nvSpPr>
      <xdr:spPr>
        <a:xfrm>
          <a:off x="4508957" y="1100971"/>
          <a:ext cx="11521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t>Patient Attend Status</a:t>
          </a:r>
        </a:p>
      </xdr:txBody>
    </xdr:sp>
    <xdr:clientData/>
  </xdr:oneCellAnchor>
  <xdr:twoCellAnchor>
    <xdr:from>
      <xdr:col>9</xdr:col>
      <xdr:colOff>370417</xdr:colOff>
      <xdr:row>0</xdr:row>
      <xdr:rowOff>7605</xdr:rowOff>
    </xdr:from>
    <xdr:to>
      <xdr:col>11</xdr:col>
      <xdr:colOff>581765</xdr:colOff>
      <xdr:row>7</xdr:row>
      <xdr:rowOff>59533</xdr:rowOff>
    </xdr:to>
    <xdr:graphicFrame macro="">
      <xdr:nvGraphicFramePr>
        <xdr:cNvPr id="43" name="Chart 42">
          <a:extLst>
            <a:ext uri="{FF2B5EF4-FFF2-40B4-BE49-F238E27FC236}">
              <a16:creationId xmlns:a16="http://schemas.microsoft.com/office/drawing/2014/main" id="{D2DB7978-38DB-45EA-B5AF-7C87F0DB4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9</xdr:col>
      <xdr:colOff>507052</xdr:colOff>
      <xdr:row>6</xdr:row>
      <xdr:rowOff>9477</xdr:rowOff>
    </xdr:from>
    <xdr:ext cx="1175002" cy="233205"/>
    <xdr:sp macro="" textlink="">
      <xdr:nvSpPr>
        <xdr:cNvPr id="44" name="TextBox 43">
          <a:extLst>
            <a:ext uri="{FF2B5EF4-FFF2-40B4-BE49-F238E27FC236}">
              <a16:creationId xmlns:a16="http://schemas.microsoft.com/office/drawing/2014/main" id="{DF2F39AD-1916-7704-27F6-A1224B68D62F}"/>
            </a:ext>
          </a:extLst>
        </xdr:cNvPr>
        <xdr:cNvSpPr txBox="1"/>
      </xdr:nvSpPr>
      <xdr:spPr>
        <a:xfrm>
          <a:off x="6008806" y="1118358"/>
          <a:ext cx="117500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t>Gender Wise Analysis</a:t>
          </a:r>
        </a:p>
      </xdr:txBody>
    </xdr:sp>
    <xdr:clientData/>
  </xdr:oneCellAnchor>
  <xdr:twoCellAnchor>
    <xdr:from>
      <xdr:col>7</xdr:col>
      <xdr:colOff>198486</xdr:colOff>
      <xdr:row>8</xdr:row>
      <xdr:rowOff>0</xdr:rowOff>
    </xdr:from>
    <xdr:to>
      <xdr:col>12</xdr:col>
      <xdr:colOff>5427</xdr:colOff>
      <xdr:row>14</xdr:row>
      <xdr:rowOff>86838</xdr:rowOff>
    </xdr:to>
    <xdr:graphicFrame macro="">
      <xdr:nvGraphicFramePr>
        <xdr:cNvPr id="45" name="Chart 44">
          <a:extLst>
            <a:ext uri="{FF2B5EF4-FFF2-40B4-BE49-F238E27FC236}">
              <a16:creationId xmlns:a16="http://schemas.microsoft.com/office/drawing/2014/main" id="{07BB39D9-1F8C-457D-9BDC-FCBA1E8B5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8</xdr:col>
      <xdr:colOff>596285</xdr:colOff>
      <xdr:row>14</xdr:row>
      <xdr:rowOff>70193</xdr:rowOff>
    </xdr:from>
    <xdr:ext cx="1152175" cy="233205"/>
    <xdr:sp macro="" textlink="">
      <xdr:nvSpPr>
        <xdr:cNvPr id="46" name="TextBox 45">
          <a:extLst>
            <a:ext uri="{FF2B5EF4-FFF2-40B4-BE49-F238E27FC236}">
              <a16:creationId xmlns:a16="http://schemas.microsoft.com/office/drawing/2014/main" id="{59129975-3F44-2BA1-6691-4E012380C321}"/>
            </a:ext>
          </a:extLst>
        </xdr:cNvPr>
        <xdr:cNvSpPr txBox="1"/>
      </xdr:nvSpPr>
      <xdr:spPr>
        <a:xfrm>
          <a:off x="5488137" y="2638415"/>
          <a:ext cx="11521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t>Patient</a:t>
          </a:r>
          <a:r>
            <a:rPr lang="en-IN" sz="900" baseline="0"/>
            <a:t> Attend Status</a:t>
          </a:r>
          <a:endParaRPr lang="en-IN" sz="900"/>
        </a:p>
      </xdr:txBody>
    </xdr:sp>
    <xdr:clientData/>
  </xdr:oneCellAnchor>
  <xdr:twoCellAnchor editAs="oneCell">
    <xdr:from>
      <xdr:col>5</xdr:col>
      <xdr:colOff>214470</xdr:colOff>
      <xdr:row>0</xdr:row>
      <xdr:rowOff>92515</xdr:rowOff>
    </xdr:from>
    <xdr:to>
      <xdr:col>6</xdr:col>
      <xdr:colOff>597152</xdr:colOff>
      <xdr:row>2</xdr:row>
      <xdr:rowOff>105132</xdr:rowOff>
    </xdr:to>
    <mc:AlternateContent xmlns:mc="http://schemas.openxmlformats.org/markup-compatibility/2006">
      <mc:Choice xmlns:a14="http://schemas.microsoft.com/office/drawing/2010/main" Requires="a14">
        <xdr:graphicFrame macro="">
          <xdr:nvGraphicFramePr>
            <xdr:cNvPr id="48" name="Dates (Year) 1">
              <a:extLst>
                <a:ext uri="{FF2B5EF4-FFF2-40B4-BE49-F238E27FC236}">
                  <a16:creationId xmlns:a16="http://schemas.microsoft.com/office/drawing/2014/main" id="{F549D988-634B-4F4E-A844-1F3EE37D4AAB}"/>
                </a:ext>
              </a:extLst>
            </xdr:cNvPr>
            <xdr:cNvGraphicFramePr/>
          </xdr:nvGraphicFramePr>
          <xdr:xfrm>
            <a:off x="0" y="0"/>
            <a:ext cx="0" cy="0"/>
          </xdr:xfrm>
          <a:graphic>
            <a:graphicData uri="http://schemas.microsoft.com/office/drawing/2010/slicer">
              <sle:slicer xmlns:sle="http://schemas.microsoft.com/office/drawing/2010/slicer" name="Dates (Year) 1"/>
            </a:graphicData>
          </a:graphic>
        </xdr:graphicFrame>
      </mc:Choice>
      <mc:Fallback>
        <xdr:sp macro="" textlink="">
          <xdr:nvSpPr>
            <xdr:cNvPr id="0" name=""/>
            <xdr:cNvSpPr>
              <a:spLocks noTextEdit="1"/>
            </xdr:cNvSpPr>
          </xdr:nvSpPr>
          <xdr:spPr>
            <a:xfrm>
              <a:off x="3258991" y="92515"/>
              <a:ext cx="991586" cy="37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4652778" createdVersion="5" refreshedVersion="8" minRefreshableVersion="3" recordCount="0" supportSubquery="1" supportAdvancedDrill="1" xr:uid="{FA6B4B1E-B302-4A67-9FCB-0A31E3853CCA}">
  <cacheSource type="external" connectionId="3"/>
  <cacheFields count="4">
    <cacheField name="[Measures].[Distinct Count of Patient Id]" caption="Distinct Count of Patient Id" numFmtId="0" hierarchy="24" level="32767"/>
    <cacheField name="[Calendar_Table].[Dates (Day)].[Dates (Day)]" caption="Dates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s (Month)].[Dates (Month)]" caption="Dates (Month)" numFmtId="0" hierarchy="3" level="1">
      <sharedItems containsSemiMixedTypes="0" containsNonDate="0" containsString="0"/>
    </cacheField>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47453704" createdVersion="5" refreshedVersion="8" minRefreshableVersion="3" recordCount="0" supportSubquery="1" supportAdvancedDrill="1" xr:uid="{FE4D7633-300C-4811-A71D-3A22CCC92061}">
  <cacheSource type="external" connectionId="3"/>
  <cacheFields count="3">
    <cacheField name="[Measures].[Count of Patient Id]" caption="Count of Patient Id" numFmtId="0" hierarchy="23" level="32767"/>
    <cacheField name="[Calendar_Table].[Dates (Month)].[Dates (Month)]" caption="Dates (Month)" numFmtId="0" hierarchy="3" level="1">
      <sharedItems containsSemiMixedTypes="0" containsNonDate="0" containsString="0"/>
    </cacheField>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48148151" createdVersion="5" refreshedVersion="8" minRefreshableVersion="3" recordCount="0" supportSubquery="1" supportAdvancedDrill="1" xr:uid="{E7BECEF7-AFB9-4798-9088-1466B3ADA7D0}">
  <cacheSource type="external" connectionId="3"/>
  <cacheFields count="3">
    <cacheField name="[Measures].[Average of Patient Waittime]" caption="Average of Patient Waittime" numFmtId="0" hierarchy="26" level="32767"/>
    <cacheField name="[Calendar_Table].[Dates (Month)].[Dates (Month)]" caption="Dates (Month)" numFmtId="0" hierarchy="3" level="1">
      <sharedItems containsSemiMixedTypes="0" containsNonDate="0" containsString="0"/>
    </cacheField>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48958336" createdVersion="5" refreshedVersion="8" minRefreshableVersion="3" recordCount="0" supportSubquery="1" supportAdvancedDrill="1" xr:uid="{A2B42D17-70C8-4D24-ADF3-FA9816928BEA}">
  <cacheSource type="external" connectionId="3"/>
  <cacheFields count="3">
    <cacheField name="[Measures].[Average of Patient Satisfaction Score]" caption="Average of Patient Satisfaction Score" numFmtId="0" hierarchy="28" level="32767"/>
    <cacheField name="[Calendar_Table].[Dates (Month)].[Dates (Month)]" caption="Dates (Month)" numFmtId="0" hierarchy="3" level="1">
      <sharedItems containsSemiMixedTypes="0" containsNonDate="0" containsString="0"/>
    </cacheField>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49999998" createdVersion="5" refreshedVersion="8" minRefreshableVersion="3" recordCount="0" supportSubquery="1" supportAdvancedDrill="1" xr:uid="{9C0034A1-4137-4A21-810D-FEF290DAC797}">
  <cacheSource type="external" connectionId="3"/>
  <cacheFields count="4">
    <cacheField name="[Calendar_Table].[Dates (Day)].[Dates (Day)]" caption="Dates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s (Month)].[Dates (Month)]" caption="Dates (Month)" numFmtId="0" hierarchy="3" level="1">
      <sharedItems containsSemiMixedTypes="0" containsNonDate="0" containsString="0"/>
    </cacheField>
    <cacheField name="[Measures].[Average of Patient Waittime]" caption="Average of Patient Waittime" numFmtId="0" hierarchy="26" level="32767"/>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1041668" createdVersion="5" refreshedVersion="8" minRefreshableVersion="3" recordCount="0" supportSubquery="1" supportAdvancedDrill="1" xr:uid="{05EE1900-D545-4F3B-87E8-AC7ADCDE3DCC}">
  <cacheSource type="external" connectionId="3"/>
  <cacheFields count="4">
    <cacheField name="[Calendar_Table].[Dates (Day)].[Dates (Day)]" caption="Dates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s (Month)].[Dates (Month)]" caption="Dates (Month)" numFmtId="0" hierarchy="3" level="1">
      <sharedItems containsSemiMixedTypes="0" containsNonDate="0" containsString="0"/>
    </cacheField>
    <cacheField name="[Measures].[Average of Patient Satisfaction Score]" caption="Average of Patient Satisfaction Score" numFmtId="0" hierarchy="28" level="32767"/>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2083331" createdVersion="5" refreshedVersion="8" minRefreshableVersion="3" recordCount="0" supportSubquery="1" supportAdvancedDrill="1" xr:uid="{40467260-77A1-47AE-9D34-BA3F3A0F8793}">
  <cacheSource type="external" connectionId="3"/>
  <cacheFields count="5">
    <cacheField name="[Calendar_Table].[Dates (Month)].[Dates (Month)]" caption="Dates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s (Year)].[Dates (Year)]" caption="Dates (Year)" numFmtId="0" hierarchy="1"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2662038" createdVersion="5" refreshedVersion="8" minRefreshableVersion="3" recordCount="0" supportSubquery="1" supportAdvancedDrill="1" xr:uid="{184D4C70-CC33-4276-98D8-623E6B7166AC}">
  <cacheSource type="external" connectionId="3"/>
  <cacheFields count="4">
    <cacheField name="[Calendar_Table].[Dates (Month)].[Dates (Month)]" caption="Dates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3125" createdVersion="5" refreshedVersion="8" minRefreshableVersion="3" recordCount="0" supportSubquery="1" supportAdvancedDrill="1" xr:uid="{6ACEB023-56F0-41A7-8243-8EFFB6D28284}">
  <cacheSource type="external" connectionId="3"/>
  <cacheFields count="4">
    <cacheField name="[Calendar_Table].[Dates (Month)].[Dates (Month)]" caption="Dates (Month)" numFmtId="0" hierarchy="3"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Patient Id]" caption="Count of Patient Id" numFmtId="0" hierarchy="23" level="32767"/>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3703701" createdVersion="5" refreshedVersion="8" minRefreshableVersion="3" recordCount="0" supportSubquery="1" supportAdvancedDrill="1" xr:uid="{CD8858C9-4DB3-4B75-9A50-320B97C76C4E}">
  <cacheSource type="external" connectionId="3"/>
  <cacheFields count="4">
    <cacheField name="[Calendar_Table].[Dates (Month)].[Dates (Month)]" caption="Dates (Month)" numFmtId="0" hierarchy="3"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4282409" createdVersion="5" refreshedVersion="8" minRefreshableVersion="3" recordCount="0" supportSubquery="1" supportAdvancedDrill="1" xr:uid="{6309FBAA-FCB4-46DA-BB7C-929058A42F8F}">
  <cacheSource type="external" connectionId="3"/>
  <cacheFields count="4">
    <cacheField name="[Calendar_Table].[Dates (Month)].[Dates (Month)]" caption="Dates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s (Year)].[Dates (Year)]" caption="Dates (Year)" numFmtId="0" hierarchy="1" level="1">
      <sharedItems containsSemiMixedTypes="0" containsNonDate="0" containsString="0"/>
    </cacheField>
  </cacheFields>
  <cacheHierarchies count="33">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667554861109" createdVersion="5" refreshedVersion="8" minRefreshableVersion="3" recordCount="0" supportSubquery="1" supportAdvancedDrill="1" xr:uid="{BDA4C3DD-19A9-4D9E-91BC-1F350735CFDE}">
  <cacheSource type="external" connectionId="3"/>
  <cacheFields count="4">
    <cacheField name="[Calendar_Table].[Dates (Month)].[Dates (Month)]" caption="Dates (Month)" numFmtId="0" hierarchy="3" level="1">
      <sharedItems count="1">
        <s v="Jun"/>
      </sharedItems>
    </cacheField>
    <cacheField name="[Calendar_Table].[Dates].[Dates]" caption="Dates"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s (Quarter)].[Dates (Quarter)]" caption="Dates (Quarter)" numFmtId="0" hierarchy="2" level="1">
      <sharedItems count="1">
        <s v="Qtr2"/>
      </sharedItems>
    </cacheField>
    <cacheField name="[Calendar_Table].[Dates (Year)].[Dates (Year)]" caption="Dates (Year)" numFmtId="0" hierarchy="1" level="1">
      <sharedItems count="1">
        <s v="2024"/>
      </sharedItems>
    </cacheField>
  </cacheFields>
  <cacheHierarchies count="33">
    <cacheHierarchy uniqueName="[Calendar_Table].[Dates]" caption="Dates" attribute="1" time="1" defaultMemberUniqueName="[Calendar_Table].[Dates].[All]" allUniqueName="[Calendar_Table].[Dates].[All]" dimensionUniqueName="[Calendar_Table]" displayFolder="" count="2" memberValueDatatype="7"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Calendar_Table].[Dates (Quarter)]" caption="Dates (Quarter)" attribute="1" defaultMemberUniqueName="[Calendar_Table].[Dates (Quarter)].[All]" allUniqueName="[Calendar_Table].[Dates (Quarter)].[All]" dimensionUniqueName="[Calendar_Table]" displayFolder="" count="2" memberValueDatatype="130" unbalanced="0">
      <fieldsUsage count="2">
        <fieldUsage x="-1"/>
        <fieldUsage x="2"/>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Day)]" caption="Dates (Day)" attribute="1" defaultMemberUniqueName="[Calendar_Table].[Dates (Day)].[All]" allUniqueName="[Calendar_Table].[Dates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2"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IT" refreshedDate="46291.593242361108" createdVersion="3" refreshedVersion="8" minRefreshableVersion="3" recordCount="0" supportSubquery="1" supportAdvancedDrill="1" xr:uid="{8479FCC1-8A1F-4691-B03E-EE56C64CEE70}">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Year)]" caption="Dates (Year)" attribute="1" defaultMemberUniqueName="[Calendar_Table].[Dates (Year)].[All]" allUniqueName="[Calendar_Table].[Dates (Year)].[All]" dimensionUniqueName="[Calendar_Table]" displayFolder="" count="2" memberValueDatatype="130" unbalanced="0"/>
    <cacheHierarchy uniqueName="[Calendar_Table].[Dates (Quarter)]" caption="Dates (Quarter)" attribute="1" defaultMemberUniqueName="[Calendar_Table].[Dates (Quarter)].[All]" allUniqueName="[Calendar_Table].[Dates (Quarter)].[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773062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A4C7D-6C87-4E4A-A8FE-6A8379587C24}" name="PivotTable13" cacheId="1330"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61">
  <location ref="P55:P5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3"/>
    <field x="2"/>
    <field x="0"/>
    <field x="1"/>
  </rowFields>
  <rowItems count="2">
    <i>
      <x/>
    </i>
    <i t="grand">
      <x/>
    </i>
  </rowItems>
  <formats count="1">
    <format dxfId="16">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AEDF7-9C18-47D8-B12C-142D8A64C33B}" name="PivotTable12" cacheId="1327"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61">
  <location ref="P43:Q52"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8">
      <pivotArea outline="0" collapsedLevelsAreSubtotals="1" fieldPosition="0"/>
    </format>
    <format dxfId="9">
      <pivotArea collapsedLevelsAreSubtotals="1" fieldPosition="0">
        <references count="1">
          <reference field="1" count="0"/>
        </references>
      </pivotArea>
    </format>
  </formats>
  <chartFormats count="1">
    <chartFormat chart="6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C2604-8E10-4D90-83F6-F2E15DE51DD1}" name="PivotTable11" cacheId="1324"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57">
  <location ref="P35:Q3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0">
      <pivotArea outline="0" collapsedLevelsAreSubtotals="1" fieldPosition="0"/>
    </format>
  </formats>
  <chartFormats count="3">
    <chartFormat chart="54" format="4" series="1">
      <pivotArea type="data" outline="0" fieldPosition="0">
        <references count="1">
          <reference field="4294967294" count="1" selected="0">
            <x v="0"/>
          </reference>
        </references>
      </pivotArea>
    </chartFormat>
    <chartFormat chart="54" format="5">
      <pivotArea type="data" outline="0" fieldPosition="0">
        <references count="2">
          <reference field="4294967294" count="1" selected="0">
            <x v="0"/>
          </reference>
          <reference field="2" count="1" selected="0">
            <x v="0"/>
          </reference>
        </references>
      </pivotArea>
    </chartFormat>
    <chartFormat chart="54"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63296-609C-4A22-B641-B30962D11DB9}" name="PivotTable10" cacheId="1321"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52">
  <location ref="P29:Q3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11">
      <pivotArea outline="0" collapsedLevelsAreSubtotals="1" fieldPosition="0"/>
    </format>
    <format dxfId="12">
      <pivotArea collapsedLevelsAreSubtotals="1" fieldPosition="0">
        <references count="1">
          <reference field="1" count="1">
            <x v="0"/>
          </reference>
        </references>
      </pivotArea>
    </format>
    <format dxfId="13">
      <pivotArea collapsedLevelsAreSubtotals="1" fieldPosition="0">
        <references count="1">
          <reference field="1" count="1">
            <x v="1"/>
          </reference>
        </references>
      </pivotArea>
    </format>
  </formats>
  <chartFormats count="3">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 count="1" selected="0">
            <x v="0"/>
          </reference>
        </references>
      </pivotArea>
    </chartFormat>
    <chartFormat chart="49"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16233C-B8E0-4676-B0CF-C4055582D922}" name="PivotTable9" cacheId="1318"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46">
  <location ref="P17:Q2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0">
      <pivotArea outline="0" collapsedLevelsAreSubtotals="1" fieldPosition="0"/>
    </format>
    <format dxfId="1">
      <pivotArea collapsedLevelsAreSubtotals="1" fieldPosition="0">
        <references count="1">
          <reference field="1" count="0"/>
        </references>
      </pivotArea>
    </format>
  </formats>
  <chartFormats count="1">
    <chartFormat chart="4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8FBAB4-27B7-43F5-902D-CD9E03108E7A}" name="PivotTable8" cacheId="1315" applyNumberFormats="0" applyBorderFormats="0" applyFontFormats="0" applyPatternFormats="0" applyAlignmentFormats="0" applyWidthHeightFormats="1" dataCaption="Values" tag="fe893985-6a1d-47ee-a073-25c763572182" updatedVersion="8" minRefreshableVersion="3" subtotalHiddenItems="1" itemPrintTitles="1" createdVersion="5" indent="0" outline="1" outlineData="1" multipleFieldFilters="0" chartFormat="42">
  <location ref="P3:R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2">
      <pivotArea outline="0" collapsedLevelsAreSubtotals="1" fieldPosition="0"/>
    </format>
    <format dxfId="3">
      <pivotArea collapsedLevelsAreSubtotals="1" fieldPosition="0">
        <references count="1">
          <reference field="1" count="1">
            <x v="1"/>
          </reference>
        </references>
      </pivotArea>
    </format>
    <format dxfId="4">
      <pivotArea collapsedLevelsAreSubtotals="1" fieldPosition="0">
        <references count="1">
          <reference field="1" count="1">
            <x v="0"/>
          </reference>
        </references>
      </pivotArea>
    </format>
    <format dxfId="5">
      <pivotArea outline="0" fieldPosition="0">
        <references count="1">
          <reference field="4294967294" count="1">
            <x v="1"/>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328E22-988C-4484-AC01-344F69412958}" name="PivotTable6" cacheId="1312" applyNumberFormats="0" applyBorderFormats="0" applyFontFormats="0" applyPatternFormats="0" applyAlignmentFormats="0" applyWidthHeightFormats="1" dataCaption="Values" tag="cbaffc90-9288-4a43-9c9f-bbe8b79c1e5a" updatedVersion="8" minRefreshableVersion="3" useAutoFormatting="1" subtotalHiddenItems="1" itemPrintTitles="1" createdVersion="5" indent="0" outline="1" outlineData="1" multipleFieldFilters="0" chartFormat="28">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4">
      <pivotArea collapsedLevelsAreSubtotals="1" fieldPosition="0">
        <references count="1">
          <reference field="0" count="0"/>
        </references>
      </pivotArea>
    </format>
  </formats>
  <chartFormats count="1">
    <chartFormat chart="2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BD254D-C7D5-48BB-8238-A04A6517F3C9}" name="PivotTable5" cacheId="1309" applyNumberFormats="0" applyBorderFormats="0" applyFontFormats="0" applyPatternFormats="0" applyAlignmentFormats="0" applyWidthHeightFormats="1" dataCaption="Values" tag="cbaffc90-9288-4a43-9c9f-bbe8b79c1e5a" updatedVersion="8" minRefreshableVersion="3" useAutoFormatting="1" subtotalHiddenItems="1" itemPrintTitles="1" createdVersion="5" indent="0" outline="1" outlineData="1" multipleFieldFilters="0" chartFormat="24">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5">
      <pivotArea collapsedLevelsAreSubtotals="1" fieldPosition="0">
        <references count="1">
          <reference field="0"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B60B2B-08ED-4BD8-B949-D9736D55497C}" name="PivotTable2" cacheId="1297" applyNumberFormats="0" applyBorderFormats="0" applyFontFormats="0" applyPatternFormats="0" applyAlignmentFormats="0" applyWidthHeightFormats="1" dataCaption="Values" tag="cbaffc90-9288-4a43-9c9f-bbe8b79c1e5a" updatedVersion="8" minRefreshableVersion="3" useAutoFormatting="1" subtotalHiddenItems="1" itemPrintTitles="1" createdVersion="5" indent="0" outline="1" outlineData="1" multipleFieldFilters="0" chartFormat="20">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694725-DBCD-4F1B-A3E7-EF81989D0C08}" name="PivotTable4" cacheId="1306" applyNumberFormats="0" applyBorderFormats="0" applyFontFormats="0" applyPatternFormats="0" applyAlignmentFormats="0" applyWidthHeightFormats="1" dataCaption="Values" tag="fe893985-6a1d-47ee-a073-25c763572182"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5CB1EB-57DA-4ACE-BA0B-D43754A064AA}" name="PivotTable3" cacheId="1303" applyNumberFormats="0" applyBorderFormats="0" applyFontFormats="0" applyPatternFormats="0" applyAlignmentFormats="0" applyWidthHeightFormats="1" dataCaption="Values" tag="e24d4689-c97b-45a2-878c-bd15f42bbc33"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BEBE9-644B-41A2-B958-50AB1275C1F3}" name="PivotTable1" cacheId="1300" applyNumberFormats="0" applyBorderFormats="0" applyFontFormats="0" applyPatternFormats="0" applyAlignmentFormats="0" applyWidthHeightFormats="1" dataCaption="Values" tag="cbaffc90-9288-4a43-9c9f-bbe8b79c1e5a"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dataFields>
  <pivotHierarchies count="33">
    <pivotHierarchy dragToData="1"/>
    <pivotHierarchy multipleItemSelectionAllowed="1" dragToData="1">
      <members count="1" level="1">
        <member name="[Calendar_Table].[Dates (Year)].&amp;[2024]"/>
      </members>
    </pivotHierarchy>
    <pivotHierarchy dragToData="1"/>
    <pivotHierarchy multipleItemSelectionAllowed="1" dragToData="1">
      <members count="1" level="1">
        <member name="[Calendar_Table].[Dates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D1732090-3CBE-419B-8390-761BF878FABD}" sourceName="[Calendar_Table].[Dates (Month)]">
  <pivotTables>
    <pivotTable tabId="1" name="PivotTable2"/>
    <pivotTable tabId="1" name="PivotTable1"/>
    <pivotTable tabId="1" name="PivotTable3"/>
    <pivotTable tabId="1" name="PivotTable4"/>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877306262">
      <levels count="2">
        <level uniqueName="[Calendar_Table].[Dates (Month)].[(All)]" sourceCaption="(All)" count="0"/>
        <level uniqueName="[Calendar_Table].[Dates (Month)].[Dates (Month)]" sourceCaption="Dates (Month)" count="12">
          <ranges>
            <range startItem="0">
              <i n="[Calendar_Table].[Dates (Month)].&amp;[Jan]" c="Jan"/>
              <i n="[Calendar_Table].[Dates (Month)].&amp;[Feb]" c="Feb"/>
              <i n="[Calendar_Table].[Dates (Month)].&amp;[Mar]" c="Mar"/>
              <i n="[Calendar_Table].[Dates (Month)].&amp;[Apr]" c="Apr"/>
              <i n="[Calendar_Table].[Dates (Month)].&amp;[May]" c="May"/>
              <i n="[Calendar_Table].[Dates (Month)].&amp;[Jun]" c="Jun"/>
              <i n="[Calendar_Table].[Dates (Month)].&amp;[Jul]" c="Jul"/>
              <i n="[Calendar_Table].[Dates (Month)].&amp;[Aug]" c="Aug"/>
              <i n="[Calendar_Table].[Dates (Month)].&amp;[Sep]" c="Sep"/>
              <i n="[Calendar_Table].[Dates (Month)].&amp;[Oct]" c="Oct"/>
              <i n="[Calendar_Table].[Dates (Month)].&amp;[Nov]" c="Nov"/>
              <i n="[Calendar_Table].[Dates (Month)].&amp;[Dec]" c="Dec"/>
            </range>
          </ranges>
        </level>
      </levels>
      <selections count="1">
        <selection n="[Calendar_Table].[Dates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324F7869-0094-4D35-8714-B4F7072181BB}" sourceName="[Calendar_Table].[Dates (Year)]">
  <pivotTables>
    <pivotTable tabId="1" name="PivotTable13"/>
    <pivotTable tabId="1" name="PivotTable2"/>
    <pivotTable tabId="1" name="PivotTable5"/>
    <pivotTable tabId="1" name="PivotTable6"/>
    <pivotTable tabId="1" name="PivotTable1"/>
    <pivotTable tabId="1" name="PivotTable10"/>
    <pivotTable tabId="1" name="PivotTable11"/>
    <pivotTable tabId="1" name="PivotTable12"/>
    <pivotTable tabId="1" name="PivotTable3"/>
    <pivotTable tabId="1" name="PivotTable4"/>
    <pivotTable tabId="1" name="PivotTable8"/>
    <pivotTable tabId="1" name="PivotTable9"/>
  </pivotTables>
  <data>
    <olap pivotCacheId="877306262">
      <levels count="2">
        <level uniqueName="[Calendar_Table].[Dates (Year)].[(All)]" sourceCaption="(All)" count="0"/>
        <level uniqueName="[Calendar_Table].[Dates (Year)].[Dates (Year)]" sourceCaption="Dates (Year)" count="2">
          <ranges>
            <range startItem="0">
              <i n="[Calendar_Table].[Dates (Year)].&amp;[2023]" c="2023"/>
              <i n="[Calendar_Table].[Dates (Year)].&amp;[2024]" c="2024"/>
            </range>
          </ranges>
        </level>
      </levels>
      <selections count="1">
        <selection n="[Calendar_Table].[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8783131C-F817-430D-820C-2088E537CAF3}" cache="Slicer_Dates__Month" caption="Dates (Month)" level="1" rowHeight="251883"/>
  <slicer name="Dates (Year)" xr10:uid="{2153A6F1-CFE9-4975-9A87-F8EB3E489CBA}" cache="Slicer_Dates__Year" caption="Dates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 xr10:uid="{8BEB35A6-F14D-497E-B518-ECBC3E749551}" cache="Slicer_Dates__Month" caption="Dates (Month)" showCaption="0" level="1" style="My style" rowHeight="144000"/>
  <slicer name="Dates (Year) 1" xr10:uid="{7CDA3ACF-305D-4D70-96C2-1F795985BF32}" cache="Slicer_Dates__Year" caption="Dates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F7B8-5B40-4E55-84C4-CD0F623CE7A6}">
  <dimension ref="A3:U57"/>
  <sheetViews>
    <sheetView topLeftCell="J1" zoomScale="77" zoomScaleNormal="115" workbookViewId="0">
      <selection activeCell="M6" sqref="M6"/>
    </sheetView>
  </sheetViews>
  <sheetFormatPr defaultRowHeight="14.5" x14ac:dyDescent="0.35"/>
  <cols>
    <col min="1" max="1" width="31.7265625" bestFit="1" customWidth="1"/>
    <col min="2" max="2" width="31.453125" customWidth="1"/>
    <col min="3" max="3" width="13.54296875" bestFit="1" customWidth="1"/>
    <col min="4" max="4" width="23.54296875" bestFit="1" customWidth="1"/>
    <col min="9" max="9" width="13.54296875" bestFit="1" customWidth="1"/>
    <col min="10" max="10" width="24.08984375" bestFit="1" customWidth="1"/>
    <col min="12" max="12" width="13.54296875" bestFit="1" customWidth="1"/>
    <col min="13" max="13" width="31.7265625" bestFit="1" customWidth="1"/>
    <col min="16" max="16" width="19.54296875" customWidth="1"/>
    <col min="17" max="17" width="24.453125" customWidth="1"/>
    <col min="18" max="18" width="17.453125" customWidth="1"/>
  </cols>
  <sheetData>
    <row r="3" spans="1:21" x14ac:dyDescent="0.35">
      <c r="A3" t="s">
        <v>0</v>
      </c>
      <c r="C3" t="s">
        <v>37</v>
      </c>
      <c r="I3" t="s">
        <v>38</v>
      </c>
      <c r="L3" t="s">
        <v>56</v>
      </c>
      <c r="P3" s="3" t="s">
        <v>3</v>
      </c>
      <c r="Q3" t="s">
        <v>57</v>
      </c>
      <c r="R3" t="s">
        <v>58</v>
      </c>
    </row>
    <row r="4" spans="1:21" x14ac:dyDescent="0.35">
      <c r="A4" t="s">
        <v>5</v>
      </c>
      <c r="C4" s="3" t="s">
        <v>3</v>
      </c>
      <c r="D4" t="s">
        <v>5</v>
      </c>
      <c r="I4" s="3" t="s">
        <v>3</v>
      </c>
      <c r="J4" t="s">
        <v>1</v>
      </c>
      <c r="L4" s="3" t="s">
        <v>3</v>
      </c>
      <c r="M4" t="s">
        <v>2</v>
      </c>
      <c r="P4" s="4" t="s">
        <v>41</v>
      </c>
      <c r="Q4" s="7">
        <v>269</v>
      </c>
      <c r="R4" s="8">
        <v>0.52436647173489281</v>
      </c>
    </row>
    <row r="5" spans="1:21" x14ac:dyDescent="0.35">
      <c r="A5" s="5">
        <v>513</v>
      </c>
      <c r="C5" s="4" t="s">
        <v>6</v>
      </c>
      <c r="D5" s="5">
        <v>19</v>
      </c>
      <c r="I5" s="4" t="s">
        <v>6</v>
      </c>
      <c r="J5" s="1">
        <v>37.789473684210527</v>
      </c>
      <c r="L5" s="4" t="s">
        <v>6</v>
      </c>
      <c r="M5" s="1">
        <v>6.666666666666667</v>
      </c>
      <c r="P5" s="4" t="s">
        <v>45</v>
      </c>
      <c r="Q5" s="7">
        <v>244</v>
      </c>
      <c r="R5" s="8">
        <v>0.47563352826510719</v>
      </c>
    </row>
    <row r="6" spans="1:21" x14ac:dyDescent="0.35">
      <c r="C6" s="4" t="s">
        <v>7</v>
      </c>
      <c r="D6" s="5">
        <v>14</v>
      </c>
      <c r="I6" s="4" t="s">
        <v>7</v>
      </c>
      <c r="J6" s="1">
        <v>38.214285714285715</v>
      </c>
      <c r="L6" s="4" t="s">
        <v>7</v>
      </c>
      <c r="M6" s="1">
        <v>3.5</v>
      </c>
      <c r="P6" s="4" t="s">
        <v>4</v>
      </c>
      <c r="Q6" s="1">
        <v>513</v>
      </c>
      <c r="R6" s="8">
        <v>1</v>
      </c>
    </row>
    <row r="7" spans="1:21" x14ac:dyDescent="0.35">
      <c r="C7" s="4" t="s">
        <v>8</v>
      </c>
      <c r="D7" s="5">
        <v>13</v>
      </c>
      <c r="I7" s="4" t="s">
        <v>8</v>
      </c>
      <c r="J7" s="1">
        <v>40.92307692307692</v>
      </c>
      <c r="L7" s="4" t="s">
        <v>8</v>
      </c>
      <c r="M7" s="1">
        <v>4.5</v>
      </c>
    </row>
    <row r="8" spans="1:21" x14ac:dyDescent="0.35">
      <c r="A8" t="s">
        <v>1</v>
      </c>
      <c r="C8" s="4" t="s">
        <v>9</v>
      </c>
      <c r="D8" s="5">
        <v>22</v>
      </c>
      <c r="I8" s="4" t="s">
        <v>9</v>
      </c>
      <c r="J8" s="1">
        <v>34.5</v>
      </c>
      <c r="L8" s="4" t="s">
        <v>9</v>
      </c>
      <c r="M8" s="1">
        <v>4.8</v>
      </c>
    </row>
    <row r="9" spans="1:21" x14ac:dyDescent="0.35">
      <c r="A9" s="1">
        <v>36.323586744639378</v>
      </c>
      <c r="C9" s="4" t="s">
        <v>10</v>
      </c>
      <c r="D9" s="5">
        <v>19</v>
      </c>
      <c r="I9" s="4" t="s">
        <v>10</v>
      </c>
      <c r="J9" s="1">
        <v>30.684210526315791</v>
      </c>
      <c r="L9" s="4" t="s">
        <v>10</v>
      </c>
      <c r="M9" s="1">
        <v>7.75</v>
      </c>
    </row>
    <row r="10" spans="1:21" x14ac:dyDescent="0.35">
      <c r="C10" s="4" t="s">
        <v>11</v>
      </c>
      <c r="D10" s="5">
        <v>15</v>
      </c>
      <c r="I10" s="4" t="s">
        <v>11</v>
      </c>
      <c r="J10" s="1">
        <v>37.666666666666664</v>
      </c>
      <c r="L10" s="4" t="s">
        <v>11</v>
      </c>
      <c r="M10" s="1">
        <v>6.2</v>
      </c>
    </row>
    <row r="11" spans="1:21" x14ac:dyDescent="0.35">
      <c r="A11" t="s">
        <v>2</v>
      </c>
      <c r="C11" s="4" t="s">
        <v>12</v>
      </c>
      <c r="D11" s="5">
        <v>12</v>
      </c>
      <c r="I11" s="4" t="s">
        <v>12</v>
      </c>
      <c r="J11" s="1">
        <v>36.083333333333336</v>
      </c>
      <c r="L11" s="4" t="s">
        <v>12</v>
      </c>
      <c r="M11" s="1">
        <v>3.75</v>
      </c>
      <c r="P11" s="11" t="s">
        <v>59</v>
      </c>
      <c r="Q11" s="11" t="s">
        <v>60</v>
      </c>
      <c r="R11" s="11" t="s">
        <v>61</v>
      </c>
      <c r="S11" s="10"/>
      <c r="T11" s="10"/>
      <c r="U11" s="10"/>
    </row>
    <row r="12" spans="1:21" x14ac:dyDescent="0.35">
      <c r="A12" s="1">
        <v>4.9591836734693882</v>
      </c>
      <c r="C12" s="4" t="s">
        <v>13</v>
      </c>
      <c r="D12" s="5">
        <v>21</v>
      </c>
      <c r="I12" s="4" t="s">
        <v>13</v>
      </c>
      <c r="J12" s="1">
        <v>43.523809523809526</v>
      </c>
      <c r="L12" s="4" t="s">
        <v>13</v>
      </c>
      <c r="M12" s="1">
        <v>6.5</v>
      </c>
      <c r="P12" s="12" t="str">
        <f>P5</f>
        <v>Not Admitted</v>
      </c>
      <c r="Q12" s="12">
        <f>Q5</f>
        <v>244</v>
      </c>
      <c r="R12" s="13">
        <f>R5</f>
        <v>0.47563352826510719</v>
      </c>
      <c r="S12" s="9"/>
      <c r="T12" s="9"/>
      <c r="U12" s="9"/>
    </row>
    <row r="13" spans="1:21" x14ac:dyDescent="0.35">
      <c r="C13" s="4" t="s">
        <v>14</v>
      </c>
      <c r="D13" s="5">
        <v>12</v>
      </c>
      <c r="I13" s="4" t="s">
        <v>14</v>
      </c>
      <c r="J13" s="1">
        <v>29.5</v>
      </c>
      <c r="L13" s="4" t="s">
        <v>14</v>
      </c>
      <c r="M13" s="1">
        <v>3</v>
      </c>
      <c r="P13" s="12" t="str">
        <f>P4</f>
        <v>Admitted</v>
      </c>
      <c r="Q13" s="12">
        <f>Q4</f>
        <v>269</v>
      </c>
      <c r="R13" s="13">
        <f>R4</f>
        <v>0.52436647173489281</v>
      </c>
      <c r="S13" s="9"/>
      <c r="T13" s="9"/>
      <c r="U13" s="9"/>
    </row>
    <row r="14" spans="1:21" x14ac:dyDescent="0.35">
      <c r="C14" s="4" t="s">
        <v>15</v>
      </c>
      <c r="D14" s="5">
        <v>13</v>
      </c>
      <c r="I14" s="4" t="s">
        <v>15</v>
      </c>
      <c r="J14" s="1">
        <v>38.07692307692308</v>
      </c>
      <c r="L14" s="4" t="s">
        <v>15</v>
      </c>
      <c r="M14" s="1">
        <v>4.5</v>
      </c>
    </row>
    <row r="15" spans="1:21" x14ac:dyDescent="0.35">
      <c r="C15" s="4" t="s">
        <v>16</v>
      </c>
      <c r="D15" s="5">
        <v>13</v>
      </c>
      <c r="I15" s="4" t="s">
        <v>16</v>
      </c>
      <c r="J15" s="1">
        <v>35.846153846153847</v>
      </c>
      <c r="L15" s="4" t="s">
        <v>16</v>
      </c>
      <c r="M15" s="1">
        <v>6</v>
      </c>
    </row>
    <row r="16" spans="1:21" x14ac:dyDescent="0.35">
      <c r="C16" s="4" t="s">
        <v>17</v>
      </c>
      <c r="D16" s="5">
        <v>16</v>
      </c>
      <c r="I16" s="4" t="s">
        <v>17</v>
      </c>
      <c r="J16" s="1">
        <v>32.625</v>
      </c>
      <c r="L16" s="4" t="s">
        <v>17</v>
      </c>
      <c r="M16" s="1">
        <v>5.2</v>
      </c>
    </row>
    <row r="17" spans="3:17" x14ac:dyDescent="0.35">
      <c r="C17" s="4" t="s">
        <v>18</v>
      </c>
      <c r="D17" s="5">
        <v>20</v>
      </c>
      <c r="I17" s="4" t="s">
        <v>18</v>
      </c>
      <c r="J17" s="1">
        <v>39.200000000000003</v>
      </c>
      <c r="L17" s="4" t="s">
        <v>18</v>
      </c>
      <c r="M17" s="1">
        <v>4.4000000000000004</v>
      </c>
      <c r="P17" s="3" t="s">
        <v>3</v>
      </c>
      <c r="Q17" t="s">
        <v>64</v>
      </c>
    </row>
    <row r="18" spans="3:17" x14ac:dyDescent="0.35">
      <c r="C18" s="4" t="s">
        <v>19</v>
      </c>
      <c r="D18" s="5">
        <v>25</v>
      </c>
      <c r="I18" s="4" t="s">
        <v>19</v>
      </c>
      <c r="J18" s="1">
        <v>35.28</v>
      </c>
      <c r="L18" s="4" t="s">
        <v>19</v>
      </c>
      <c r="M18" s="1">
        <v>3.4545454545454546</v>
      </c>
      <c r="P18" s="4" t="s">
        <v>48</v>
      </c>
      <c r="Q18" s="7">
        <v>76</v>
      </c>
    </row>
    <row r="19" spans="3:17" x14ac:dyDescent="0.35">
      <c r="C19" s="4" t="s">
        <v>20</v>
      </c>
      <c r="D19" s="5">
        <v>20</v>
      </c>
      <c r="I19" s="4" t="s">
        <v>20</v>
      </c>
      <c r="J19" s="1">
        <v>32.549999999999997</v>
      </c>
      <c r="L19" s="4" t="s">
        <v>20</v>
      </c>
      <c r="M19" s="1">
        <v>4.4000000000000004</v>
      </c>
      <c r="P19" s="4" t="s">
        <v>54</v>
      </c>
      <c r="Q19" s="7">
        <v>69</v>
      </c>
    </row>
    <row r="20" spans="3:17" x14ac:dyDescent="0.35">
      <c r="C20" s="4" t="s">
        <v>21</v>
      </c>
      <c r="D20" s="5">
        <v>14</v>
      </c>
      <c r="I20" s="4" t="s">
        <v>21</v>
      </c>
      <c r="J20" s="1">
        <v>35.642857142857146</v>
      </c>
      <c r="L20" s="4" t="s">
        <v>21</v>
      </c>
      <c r="M20" s="1">
        <v>5.833333333333333</v>
      </c>
      <c r="P20" s="4" t="s">
        <v>46</v>
      </c>
      <c r="Q20" s="7">
        <v>64</v>
      </c>
    </row>
    <row r="21" spans="3:17" x14ac:dyDescent="0.35">
      <c r="C21" s="4" t="s">
        <v>22</v>
      </c>
      <c r="D21" s="5">
        <v>17</v>
      </c>
      <c r="I21" s="4" t="s">
        <v>22</v>
      </c>
      <c r="J21" s="1">
        <v>38.764705882352942</v>
      </c>
      <c r="L21" s="4" t="s">
        <v>22</v>
      </c>
      <c r="M21" s="1">
        <v>4.4444444444444446</v>
      </c>
      <c r="P21" s="4" t="s">
        <v>42</v>
      </c>
      <c r="Q21" s="7">
        <v>59</v>
      </c>
    </row>
    <row r="22" spans="3:17" x14ac:dyDescent="0.35">
      <c r="C22" s="4" t="s">
        <v>23</v>
      </c>
      <c r="D22" s="5">
        <v>20</v>
      </c>
      <c r="I22" s="4" t="s">
        <v>23</v>
      </c>
      <c r="J22" s="1">
        <v>39.9</v>
      </c>
      <c r="L22" s="4" t="s">
        <v>23</v>
      </c>
      <c r="M22" s="1">
        <v>5.333333333333333</v>
      </c>
      <c r="P22" s="4" t="s">
        <v>62</v>
      </c>
      <c r="Q22" s="7">
        <v>58</v>
      </c>
    </row>
    <row r="23" spans="3:17" x14ac:dyDescent="0.35">
      <c r="C23" s="4" t="s">
        <v>24</v>
      </c>
      <c r="D23" s="5">
        <v>10</v>
      </c>
      <c r="I23" s="4" t="s">
        <v>24</v>
      </c>
      <c r="J23" s="1">
        <v>41.6</v>
      </c>
      <c r="L23" s="4" t="s">
        <v>24</v>
      </c>
      <c r="M23" s="1">
        <v>5.333333333333333</v>
      </c>
      <c r="P23" s="4" t="s">
        <v>50</v>
      </c>
      <c r="Q23" s="7">
        <v>66</v>
      </c>
    </row>
    <row r="24" spans="3:17" x14ac:dyDescent="0.35">
      <c r="C24" s="4" t="s">
        <v>25</v>
      </c>
      <c r="D24" s="5">
        <v>17</v>
      </c>
      <c r="I24" s="4" t="s">
        <v>25</v>
      </c>
      <c r="J24" s="1">
        <v>39.470588235294116</v>
      </c>
      <c r="L24" s="4" t="s">
        <v>25</v>
      </c>
      <c r="M24" s="1">
        <v>5.5714285714285712</v>
      </c>
      <c r="P24" s="4" t="s">
        <v>49</v>
      </c>
      <c r="Q24" s="7">
        <v>67</v>
      </c>
    </row>
    <row r="25" spans="3:17" x14ac:dyDescent="0.35">
      <c r="C25" s="4" t="s">
        <v>26</v>
      </c>
      <c r="D25" s="5">
        <v>15</v>
      </c>
      <c r="I25" s="4" t="s">
        <v>26</v>
      </c>
      <c r="J25" s="1">
        <v>27.733333333333334</v>
      </c>
      <c r="L25" s="4" t="s">
        <v>26</v>
      </c>
      <c r="M25" s="1">
        <v>5</v>
      </c>
      <c r="P25" s="4" t="s">
        <v>63</v>
      </c>
      <c r="Q25" s="7">
        <v>54</v>
      </c>
    </row>
    <row r="26" spans="3:17" x14ac:dyDescent="0.35">
      <c r="C26" s="4" t="s">
        <v>27</v>
      </c>
      <c r="D26" s="5">
        <v>16</v>
      </c>
      <c r="I26" s="4" t="s">
        <v>27</v>
      </c>
      <c r="J26" s="1">
        <v>36.875</v>
      </c>
      <c r="L26" s="4" t="s">
        <v>27</v>
      </c>
      <c r="M26" s="1">
        <v>6.4</v>
      </c>
      <c r="P26" s="4" t="s">
        <v>4</v>
      </c>
      <c r="Q26" s="1">
        <v>513</v>
      </c>
    </row>
    <row r="27" spans="3:17" x14ac:dyDescent="0.35">
      <c r="C27" s="4" t="s">
        <v>28</v>
      </c>
      <c r="D27" s="5">
        <v>18</v>
      </c>
      <c r="I27" s="4" t="s">
        <v>28</v>
      </c>
      <c r="J27" s="1">
        <v>40.333333333333336</v>
      </c>
      <c r="L27" s="4" t="s">
        <v>28</v>
      </c>
      <c r="M27" s="1">
        <v>5.333333333333333</v>
      </c>
    </row>
    <row r="28" spans="3:17" x14ac:dyDescent="0.35">
      <c r="C28" s="4" t="s">
        <v>29</v>
      </c>
      <c r="D28" s="5">
        <v>16</v>
      </c>
      <c r="I28" s="4" t="s">
        <v>29</v>
      </c>
      <c r="J28" s="1">
        <v>36.5</v>
      </c>
      <c r="L28" s="4" t="s">
        <v>29</v>
      </c>
      <c r="M28" s="1">
        <v>3.75</v>
      </c>
    </row>
    <row r="29" spans="3:17" x14ac:dyDescent="0.35">
      <c r="C29" s="4" t="s">
        <v>30</v>
      </c>
      <c r="D29" s="5">
        <v>15</v>
      </c>
      <c r="I29" s="4" t="s">
        <v>30</v>
      </c>
      <c r="J29" s="1">
        <v>32.866666666666667</v>
      </c>
      <c r="L29" s="4" t="s">
        <v>30</v>
      </c>
      <c r="M29" s="1">
        <v>6.333333333333333</v>
      </c>
      <c r="P29" s="3" t="s">
        <v>3</v>
      </c>
      <c r="Q29" t="s">
        <v>65</v>
      </c>
    </row>
    <row r="30" spans="3:17" x14ac:dyDescent="0.35">
      <c r="C30" s="4" t="s">
        <v>31</v>
      </c>
      <c r="D30" s="5">
        <v>14</v>
      </c>
      <c r="I30" s="4" t="s">
        <v>31</v>
      </c>
      <c r="J30" s="1">
        <v>36.642857142857146</v>
      </c>
      <c r="L30" s="4" t="s">
        <v>31</v>
      </c>
      <c r="M30" s="1">
        <v>10</v>
      </c>
      <c r="P30" s="4" t="s">
        <v>47</v>
      </c>
      <c r="Q30" s="6">
        <v>316</v>
      </c>
    </row>
    <row r="31" spans="3:17" x14ac:dyDescent="0.35">
      <c r="C31" s="4" t="s">
        <v>32</v>
      </c>
      <c r="D31" s="5">
        <v>16</v>
      </c>
      <c r="I31" s="4" t="s">
        <v>32</v>
      </c>
      <c r="J31" s="1">
        <v>36.5625</v>
      </c>
      <c r="L31" s="4" t="s">
        <v>32</v>
      </c>
      <c r="M31" s="1">
        <v>5</v>
      </c>
      <c r="P31" s="4" t="s">
        <v>43</v>
      </c>
      <c r="Q31" s="6">
        <v>197</v>
      </c>
    </row>
    <row r="32" spans="3:17" x14ac:dyDescent="0.35">
      <c r="C32" s="4" t="s">
        <v>33</v>
      </c>
      <c r="D32" s="5">
        <v>20</v>
      </c>
      <c r="I32" s="4" t="s">
        <v>33</v>
      </c>
      <c r="J32" s="1">
        <v>32.15</v>
      </c>
      <c r="L32" s="4" t="s">
        <v>33</v>
      </c>
      <c r="M32" s="1">
        <v>5.333333333333333</v>
      </c>
      <c r="P32" s="4" t="s">
        <v>4</v>
      </c>
      <c r="Q32" s="1">
        <v>513</v>
      </c>
    </row>
    <row r="33" spans="3:17" x14ac:dyDescent="0.35">
      <c r="C33" s="4" t="s">
        <v>34</v>
      </c>
      <c r="D33" s="5">
        <v>19</v>
      </c>
      <c r="I33" s="4" t="s">
        <v>34</v>
      </c>
      <c r="J33" s="1">
        <v>38.368421052631582</v>
      </c>
      <c r="L33" s="4" t="s">
        <v>34</v>
      </c>
      <c r="M33" s="1">
        <v>4.8</v>
      </c>
    </row>
    <row r="34" spans="3:17" x14ac:dyDescent="0.35">
      <c r="C34" s="4" t="s">
        <v>35</v>
      </c>
      <c r="D34" s="5">
        <v>14</v>
      </c>
      <c r="I34" s="4" t="s">
        <v>35</v>
      </c>
      <c r="J34" s="1">
        <v>33.071428571428569</v>
      </c>
      <c r="L34" s="4" t="s">
        <v>35</v>
      </c>
      <c r="M34" s="1">
        <v>5</v>
      </c>
    </row>
    <row r="35" spans="3:17" x14ac:dyDescent="0.35">
      <c r="C35" s="4" t="s">
        <v>36</v>
      </c>
      <c r="D35" s="5">
        <v>18</v>
      </c>
      <c r="I35" s="4" t="s">
        <v>36</v>
      </c>
      <c r="J35" s="1">
        <v>36.444444444444443</v>
      </c>
      <c r="L35" s="4" t="s">
        <v>36</v>
      </c>
      <c r="M35" s="1">
        <v>1.4</v>
      </c>
      <c r="P35" s="3" t="s">
        <v>3</v>
      </c>
      <c r="Q35" t="s">
        <v>66</v>
      </c>
    </row>
    <row r="36" spans="3:17" x14ac:dyDescent="0.35">
      <c r="C36" s="4" t="s">
        <v>4</v>
      </c>
      <c r="D36" s="5">
        <v>513</v>
      </c>
      <c r="I36" s="4" t="s">
        <v>4</v>
      </c>
      <c r="J36" s="5">
        <v>36.323586744639378</v>
      </c>
      <c r="L36" s="4" t="s">
        <v>4</v>
      </c>
      <c r="M36" s="5">
        <v>4.9591836734693882</v>
      </c>
      <c r="P36" s="4" t="s">
        <v>44</v>
      </c>
      <c r="Q36" s="1">
        <v>241</v>
      </c>
    </row>
    <row r="37" spans="3:17" x14ac:dyDescent="0.35">
      <c r="P37" s="4" t="s">
        <v>39</v>
      </c>
      <c r="Q37" s="1">
        <v>272</v>
      </c>
    </row>
    <row r="38" spans="3:17" x14ac:dyDescent="0.35">
      <c r="P38" s="4" t="s">
        <v>4</v>
      </c>
      <c r="Q38" s="1">
        <v>513</v>
      </c>
    </row>
    <row r="43" spans="3:17" x14ac:dyDescent="0.35">
      <c r="P43" s="3" t="s">
        <v>3</v>
      </c>
      <c r="Q43" t="s">
        <v>70</v>
      </c>
    </row>
    <row r="44" spans="3:17" x14ac:dyDescent="0.35">
      <c r="P44" s="4" t="s">
        <v>53</v>
      </c>
      <c r="Q44" s="7">
        <v>14</v>
      </c>
    </row>
    <row r="45" spans="3:17" x14ac:dyDescent="0.35">
      <c r="P45" s="4" t="s">
        <v>67</v>
      </c>
      <c r="Q45" s="7">
        <v>4</v>
      </c>
    </row>
    <row r="46" spans="3:17" x14ac:dyDescent="0.35">
      <c r="P46" s="4" t="s">
        <v>51</v>
      </c>
      <c r="Q46" s="7">
        <v>103</v>
      </c>
    </row>
    <row r="47" spans="3:17" x14ac:dyDescent="0.35">
      <c r="P47" s="4" t="s">
        <v>55</v>
      </c>
      <c r="Q47" s="7">
        <v>9</v>
      </c>
    </row>
    <row r="48" spans="3:17" x14ac:dyDescent="0.35">
      <c r="P48" s="4" t="s">
        <v>40</v>
      </c>
      <c r="Q48" s="7">
        <v>299</v>
      </c>
    </row>
    <row r="49" spans="16:17" x14ac:dyDescent="0.35">
      <c r="P49" s="4" t="s">
        <v>52</v>
      </c>
      <c r="Q49" s="7">
        <v>65</v>
      </c>
    </row>
    <row r="50" spans="16:17" x14ac:dyDescent="0.35">
      <c r="P50" s="4" t="s">
        <v>68</v>
      </c>
      <c r="Q50" s="7">
        <v>14</v>
      </c>
    </row>
    <row r="51" spans="16:17" x14ac:dyDescent="0.35">
      <c r="P51" s="4" t="s">
        <v>69</v>
      </c>
      <c r="Q51" s="7">
        <v>5</v>
      </c>
    </row>
    <row r="52" spans="16:17" x14ac:dyDescent="0.35">
      <c r="P52" s="4" t="s">
        <v>4</v>
      </c>
      <c r="Q52" s="1">
        <v>513</v>
      </c>
    </row>
    <row r="55" spans="16:17" x14ac:dyDescent="0.35">
      <c r="P55" s="3" t="s">
        <v>3</v>
      </c>
    </row>
    <row r="56" spans="16:17" x14ac:dyDescent="0.35">
      <c r="P56" s="4" t="s">
        <v>71</v>
      </c>
    </row>
    <row r="57" spans="16:17" x14ac:dyDescent="0.35">
      <c r="P57" s="4"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D538-FFFD-4AE2-BFD1-D0359EDFFE47}">
  <dimension ref="A1:Q19"/>
  <sheetViews>
    <sheetView tabSelected="1" zoomScale="146" zoomScaleNormal="140" workbookViewId="0">
      <selection activeCell="N7" sqref="N7"/>
    </sheetView>
  </sheetViews>
  <sheetFormatPr defaultRowHeight="14.5" x14ac:dyDescent="0.35"/>
  <sheetData>
    <row r="1" spans="1:17" x14ac:dyDescent="0.35">
      <c r="A1" s="2"/>
      <c r="B1" s="2"/>
      <c r="C1" s="2"/>
      <c r="D1" s="2"/>
      <c r="E1" s="2"/>
      <c r="F1" s="2"/>
      <c r="G1" s="2"/>
      <c r="H1" s="2"/>
      <c r="I1" s="2"/>
      <c r="J1" s="2"/>
      <c r="K1" s="2"/>
      <c r="L1" s="2"/>
      <c r="M1" s="2"/>
      <c r="N1" s="2"/>
      <c r="O1" s="2"/>
      <c r="P1" s="2"/>
    </row>
    <row r="2" spans="1:17" x14ac:dyDescent="0.35">
      <c r="A2" s="2"/>
      <c r="B2" s="2"/>
      <c r="C2" s="2"/>
      <c r="D2" s="2"/>
      <c r="E2" s="2"/>
      <c r="F2" s="2"/>
      <c r="G2" s="2"/>
      <c r="H2" s="2"/>
      <c r="I2" s="2"/>
      <c r="J2" s="2"/>
      <c r="K2" s="2"/>
      <c r="L2" s="2"/>
      <c r="M2" s="2"/>
      <c r="N2" s="2"/>
      <c r="O2" s="2"/>
      <c r="P2" s="2"/>
    </row>
    <row r="3" spans="1:17" x14ac:dyDescent="0.35">
      <c r="A3" s="2"/>
      <c r="B3" s="2"/>
      <c r="C3" s="2"/>
      <c r="D3" s="2"/>
      <c r="E3" s="2"/>
      <c r="F3" s="2"/>
      <c r="G3" s="2"/>
      <c r="H3" s="2"/>
      <c r="I3" s="2"/>
      <c r="J3" s="2"/>
      <c r="K3" s="2"/>
      <c r="L3" s="2"/>
      <c r="M3" s="2"/>
      <c r="N3" s="2"/>
      <c r="O3" s="2"/>
      <c r="P3" s="2"/>
      <c r="Q3">
        <f>GETPIVOTDATA("[Measures].[Count of Patient Id]",'Pivot Report'!$A$4)</f>
        <v>513</v>
      </c>
    </row>
    <row r="4" spans="1:17" x14ac:dyDescent="0.35">
      <c r="A4" s="2"/>
      <c r="B4" s="2"/>
      <c r="C4" s="2"/>
      <c r="D4" s="2"/>
      <c r="E4" s="2"/>
      <c r="F4" s="2"/>
      <c r="G4" s="2"/>
      <c r="H4" s="2"/>
      <c r="I4" s="2"/>
      <c r="J4" s="2"/>
      <c r="K4" s="2"/>
      <c r="L4" s="2"/>
      <c r="M4" s="2"/>
      <c r="N4" s="2"/>
      <c r="O4" s="2"/>
      <c r="P4" s="2"/>
    </row>
    <row r="5" spans="1:17" x14ac:dyDescent="0.35">
      <c r="A5" s="2"/>
      <c r="B5" s="2"/>
      <c r="C5" s="2"/>
      <c r="D5" s="2"/>
      <c r="E5" s="2"/>
      <c r="F5" s="2"/>
      <c r="G5" s="2"/>
      <c r="H5" s="2"/>
      <c r="I5" s="2"/>
      <c r="J5" s="2"/>
      <c r="K5" s="2"/>
      <c r="L5" s="2"/>
      <c r="M5" s="2"/>
      <c r="N5" s="2"/>
      <c r="O5" s="2"/>
      <c r="P5" s="2"/>
      <c r="Q5" s="1">
        <f>GETPIVOTDATA("[Measures].[Average of Patient Waittime]",'Pivot Report'!$A$8)</f>
        <v>36.323586744639378</v>
      </c>
    </row>
    <row r="6" spans="1:17" x14ac:dyDescent="0.35">
      <c r="A6" s="2"/>
      <c r="B6" s="2"/>
      <c r="C6" s="2"/>
      <c r="D6" s="2"/>
      <c r="E6" s="2"/>
      <c r="F6" s="2"/>
      <c r="G6" s="2"/>
      <c r="H6" s="2"/>
      <c r="I6" s="2"/>
      <c r="J6" s="2"/>
      <c r="K6" s="2"/>
      <c r="L6" s="2"/>
      <c r="M6" s="2"/>
      <c r="N6" s="2"/>
      <c r="O6" s="2"/>
      <c r="P6" s="2"/>
      <c r="Q6" s="1">
        <f>GETPIVOTDATA("[Measures].[Average of Patient Satisfaction Score]",'Pivot Report'!$A$11)</f>
        <v>4.9591836734693882</v>
      </c>
    </row>
    <row r="7" spans="1:17" x14ac:dyDescent="0.35">
      <c r="A7" s="2"/>
      <c r="B7" s="2"/>
      <c r="C7" s="2"/>
      <c r="D7" s="2"/>
      <c r="E7" s="2"/>
      <c r="F7" s="2"/>
      <c r="G7" s="2"/>
      <c r="H7" s="2"/>
      <c r="I7" s="2"/>
      <c r="J7" s="2"/>
      <c r="K7" s="2"/>
      <c r="L7" s="2"/>
      <c r="M7" s="2"/>
      <c r="N7" s="2"/>
      <c r="O7" s="2"/>
      <c r="P7" s="2"/>
    </row>
    <row r="8" spans="1:17" x14ac:dyDescent="0.35">
      <c r="A8" s="2"/>
      <c r="B8" s="2"/>
      <c r="C8" s="2"/>
      <c r="D8" s="2"/>
      <c r="E8" s="2"/>
      <c r="F8" s="2"/>
      <c r="G8" s="2"/>
      <c r="H8" s="2"/>
      <c r="I8" s="2"/>
      <c r="J8" s="2"/>
      <c r="K8" s="2"/>
      <c r="L8" s="2"/>
      <c r="M8" s="2"/>
      <c r="N8" s="2"/>
      <c r="O8" s="2"/>
      <c r="P8" s="2"/>
    </row>
    <row r="9" spans="1:17" x14ac:dyDescent="0.35">
      <c r="A9" s="2"/>
      <c r="B9" s="2"/>
      <c r="C9" s="2"/>
      <c r="D9" s="2"/>
      <c r="E9" s="2"/>
      <c r="F9" s="2"/>
      <c r="G9" s="2"/>
      <c r="H9" s="2"/>
      <c r="I9" s="2"/>
      <c r="J9" s="2"/>
      <c r="K9" s="2"/>
      <c r="L9" s="2"/>
      <c r="M9" s="2"/>
      <c r="N9" s="2"/>
      <c r="O9" s="2"/>
      <c r="P9" s="2"/>
    </row>
    <row r="10" spans="1:17" x14ac:dyDescent="0.35">
      <c r="A10" s="2"/>
      <c r="B10" s="2"/>
      <c r="C10" s="2"/>
      <c r="D10" s="2"/>
      <c r="E10" s="2"/>
      <c r="F10" s="2"/>
      <c r="G10" s="2"/>
      <c r="H10" s="2"/>
      <c r="I10" s="2"/>
      <c r="J10" s="2"/>
      <c r="K10" s="2"/>
      <c r="L10" s="2"/>
      <c r="M10" s="2"/>
      <c r="N10" s="2"/>
      <c r="O10" s="2"/>
      <c r="P10" s="2"/>
    </row>
    <row r="11" spans="1:17" x14ac:dyDescent="0.35">
      <c r="A11" s="2"/>
      <c r="B11" s="2"/>
      <c r="C11" s="2"/>
      <c r="D11" s="2"/>
      <c r="E11" s="2"/>
      <c r="F11" s="2"/>
      <c r="G11" s="2"/>
      <c r="H11" s="2"/>
      <c r="I11" s="2"/>
      <c r="J11" s="2"/>
      <c r="K11" s="2"/>
      <c r="L11" s="2"/>
      <c r="M11" s="2"/>
      <c r="N11" s="2"/>
      <c r="O11" s="2"/>
      <c r="P11" s="2"/>
    </row>
    <row r="12" spans="1:17" x14ac:dyDescent="0.35">
      <c r="A12" s="2"/>
      <c r="B12" s="2"/>
      <c r="C12" s="2"/>
      <c r="D12" s="2"/>
      <c r="E12" s="2"/>
      <c r="F12" s="2"/>
      <c r="G12" s="2"/>
      <c r="H12" s="2"/>
      <c r="I12" s="2"/>
      <c r="J12" s="2"/>
      <c r="K12" s="2"/>
      <c r="L12" s="2"/>
      <c r="M12" s="2"/>
      <c r="N12" s="2"/>
      <c r="O12" s="2"/>
      <c r="P12" s="2"/>
    </row>
    <row r="13" spans="1:17" x14ac:dyDescent="0.35">
      <c r="A13" s="2"/>
      <c r="B13" s="2"/>
      <c r="C13" s="2"/>
      <c r="D13" s="2"/>
      <c r="E13" s="2"/>
      <c r="F13" s="2"/>
      <c r="G13" s="2"/>
      <c r="H13" s="2"/>
      <c r="I13" s="2"/>
      <c r="J13" s="2"/>
      <c r="K13" s="2"/>
      <c r="L13" s="2"/>
      <c r="M13" s="2"/>
      <c r="N13" s="2"/>
      <c r="O13" s="2"/>
      <c r="P13" s="2"/>
    </row>
    <row r="14" spans="1:17" x14ac:dyDescent="0.35">
      <c r="A14" s="2"/>
      <c r="B14" s="2"/>
      <c r="C14" s="2"/>
      <c r="D14" s="2"/>
      <c r="E14" s="2"/>
      <c r="F14" s="2"/>
      <c r="G14" s="2"/>
      <c r="H14" s="2"/>
      <c r="I14" s="2"/>
      <c r="J14" s="2"/>
      <c r="K14" s="2"/>
      <c r="L14" s="2"/>
      <c r="M14" s="2"/>
      <c r="N14" s="2"/>
      <c r="O14" s="2"/>
      <c r="P14" s="2"/>
    </row>
    <row r="15" spans="1:17" x14ac:dyDescent="0.35">
      <c r="A15" s="2"/>
      <c r="B15" s="2"/>
      <c r="C15" s="2"/>
      <c r="D15" s="2"/>
      <c r="E15" s="2"/>
      <c r="F15" s="2"/>
      <c r="G15" s="2"/>
      <c r="H15" s="2"/>
      <c r="I15" s="2"/>
      <c r="J15" s="2"/>
      <c r="K15" s="2"/>
      <c r="L15" s="2"/>
      <c r="M15" s="2"/>
      <c r="N15" s="2"/>
      <c r="O15" s="2"/>
      <c r="P15" s="2"/>
    </row>
    <row r="16" spans="1:17" x14ac:dyDescent="0.35">
      <c r="A16" s="2"/>
      <c r="B16" s="2"/>
      <c r="C16" s="2"/>
      <c r="D16" s="2"/>
      <c r="E16" s="2"/>
      <c r="F16" s="2"/>
      <c r="G16" s="2"/>
      <c r="H16" s="2"/>
      <c r="I16" s="2"/>
      <c r="J16" s="2"/>
      <c r="K16" s="2"/>
      <c r="L16" s="2"/>
      <c r="M16" s="2"/>
      <c r="N16" s="2"/>
      <c r="O16" s="2"/>
      <c r="P16" s="2"/>
    </row>
    <row r="17" spans="1:16" x14ac:dyDescent="0.35">
      <c r="A17" s="2"/>
      <c r="B17" s="2"/>
      <c r="C17" s="2"/>
      <c r="D17" s="2"/>
      <c r="E17" s="2"/>
      <c r="F17" s="2"/>
      <c r="G17" s="2"/>
      <c r="H17" s="2"/>
      <c r="I17" s="2"/>
      <c r="J17" s="2"/>
      <c r="K17" s="2"/>
      <c r="L17" s="2"/>
      <c r="M17" s="2"/>
      <c r="N17" s="2"/>
      <c r="O17" s="2"/>
      <c r="P17" s="2"/>
    </row>
    <row r="18" spans="1:16" x14ac:dyDescent="0.35">
      <c r="A18" s="2"/>
      <c r="B18" s="2"/>
      <c r="C18" s="2"/>
      <c r="D18" s="2"/>
      <c r="E18" s="2"/>
      <c r="F18" s="2"/>
      <c r="G18" s="2"/>
      <c r="H18" s="2"/>
      <c r="I18" s="2"/>
      <c r="J18" s="2"/>
      <c r="K18" s="2"/>
      <c r="L18" s="2"/>
      <c r="M18" s="2"/>
      <c r="N18" s="2"/>
      <c r="O18" s="2"/>
      <c r="P18" s="2"/>
    </row>
    <row r="19" spans="1:16" x14ac:dyDescent="0.35">
      <c r="A19" s="2"/>
      <c r="B19" s="2"/>
      <c r="C19" s="2"/>
      <c r="D19" s="2"/>
      <c r="E19" s="2"/>
      <c r="F19" s="2"/>
      <c r="G19" s="2"/>
      <c r="H19" s="2"/>
      <c r="I19" s="2"/>
      <c r="J19" s="2"/>
      <c r="K19" s="2"/>
      <c r="L19" s="2"/>
      <c r="M19" s="2"/>
      <c r="N19" s="2"/>
      <c r="O19" s="2"/>
      <c r="P19"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19AD724-A258-4EE0-8839-D27C39A07CBE}">
  <ds:schemaRefs/>
</ds:datastoreItem>
</file>

<file path=customXml/itemProps2.xml><?xml version="1.0" encoding="utf-8"?>
<ds:datastoreItem xmlns:ds="http://schemas.openxmlformats.org/officeDocument/2006/customXml" ds:itemID="{D9A3AFF0-BA96-4902-AF67-17D37DF45977}">
  <ds:schemaRefs/>
</ds:datastoreItem>
</file>

<file path=customXml/itemProps3.xml><?xml version="1.0" encoding="utf-8"?>
<ds:datastoreItem xmlns:ds="http://schemas.openxmlformats.org/officeDocument/2006/customXml" ds:itemID="{337FDD31-3DE2-4979-8C55-E2F0ADF0334A}">
  <ds:schemaRefs/>
</ds:datastoreItem>
</file>

<file path=customXml/itemProps4.xml><?xml version="1.0" encoding="utf-8"?>
<ds:datastoreItem xmlns:ds="http://schemas.openxmlformats.org/officeDocument/2006/customXml" ds:itemID="{60BF2007-B549-4F3F-92D3-F2B9CEC496CF}">
  <ds:schemaRefs/>
</ds:datastoreItem>
</file>

<file path=customXml/itemProps5.xml><?xml version="1.0" encoding="utf-8"?>
<ds:datastoreItem xmlns:ds="http://schemas.openxmlformats.org/officeDocument/2006/customXml" ds:itemID="{AD63CFFF-75DD-44F2-AF4E-4E672D8E73CB}">
  <ds:schemaRefs/>
</ds:datastoreItem>
</file>

<file path=customXml/itemProps6.xml><?xml version="1.0" encoding="utf-8"?>
<ds:datastoreItem xmlns:ds="http://schemas.openxmlformats.org/officeDocument/2006/customXml" ds:itemID="{F00CD1C4-C2BF-4FFA-B806-399CFA1A634B}">
  <ds:schemaRefs/>
</ds:datastoreItem>
</file>

<file path=customXml/itemProps7.xml><?xml version="1.0" encoding="utf-8"?>
<ds:datastoreItem xmlns:ds="http://schemas.openxmlformats.org/officeDocument/2006/customXml" ds:itemID="{949D269E-52CF-4FFA-9357-E497F84ACFA0}">
  <ds:schemaRefs/>
</ds:datastoreItem>
</file>

<file path=customXml/itemProps8.xml><?xml version="1.0" encoding="utf-8"?>
<ds:datastoreItem xmlns:ds="http://schemas.openxmlformats.org/officeDocument/2006/customXml" ds:itemID="{0E5AD6D1-8837-49C7-B838-FC740E66C957}">
  <ds:schemaRefs/>
</ds:datastoreItem>
</file>

<file path=customXml/itemProps9.xml><?xml version="1.0" encoding="utf-8"?>
<ds:datastoreItem xmlns:ds="http://schemas.openxmlformats.org/officeDocument/2006/customXml" ds:itemID="{E67F7304-8477-47FE-9A99-EFCDE70E3C25}">
  <ds:schemaRefs/>
</ds:datastoreItem>
</file>

<file path=customXml/itemProps10.xml><?xml version="1.0" encoding="utf-8"?>
<ds:datastoreItem xmlns:ds="http://schemas.openxmlformats.org/officeDocument/2006/customXml" ds:itemID="{11F57026-4C07-424F-99B6-883F2CD3DD96}">
  <ds:schemaRefs/>
</ds:datastoreItem>
</file>

<file path=customXml/itemProps11.xml><?xml version="1.0" encoding="utf-8"?>
<ds:datastoreItem xmlns:ds="http://schemas.openxmlformats.org/officeDocument/2006/customXml" ds:itemID="{31388943-B78B-4ED8-97A6-159D2B3C63A3}">
  <ds:schemaRefs/>
</ds:datastoreItem>
</file>

<file path=customXml/itemProps12.xml><?xml version="1.0" encoding="utf-8"?>
<ds:datastoreItem xmlns:ds="http://schemas.openxmlformats.org/officeDocument/2006/customXml" ds:itemID="{CA8EA622-6555-49C9-8EE1-04419CBAECE1}">
  <ds:schemaRefs/>
</ds:datastoreItem>
</file>

<file path=customXml/itemProps13.xml><?xml version="1.0" encoding="utf-8"?>
<ds:datastoreItem xmlns:ds="http://schemas.openxmlformats.org/officeDocument/2006/customXml" ds:itemID="{36491CDE-80FA-467E-83A7-0326BDC68759}">
  <ds:schemaRefs/>
</ds:datastoreItem>
</file>

<file path=customXml/itemProps14.xml><?xml version="1.0" encoding="utf-8"?>
<ds:datastoreItem xmlns:ds="http://schemas.openxmlformats.org/officeDocument/2006/customXml" ds:itemID="{928370B5-4DFA-47B3-94F5-CDD58EEFC23C}">
  <ds:schemaRefs/>
</ds:datastoreItem>
</file>

<file path=customXml/itemProps15.xml><?xml version="1.0" encoding="utf-8"?>
<ds:datastoreItem xmlns:ds="http://schemas.openxmlformats.org/officeDocument/2006/customXml" ds:itemID="{A3C1D7BE-2BE9-4D42-84C4-7C85D424C191}">
  <ds:schemaRefs/>
</ds:datastoreItem>
</file>

<file path=customXml/itemProps16.xml><?xml version="1.0" encoding="utf-8"?>
<ds:datastoreItem xmlns:ds="http://schemas.openxmlformats.org/officeDocument/2006/customXml" ds:itemID="{C9E7D7B5-5B5D-4113-B1CA-94499E79FC8A}">
  <ds:schemaRefs/>
</ds:datastoreItem>
</file>

<file path=customXml/itemProps17.xml><?xml version="1.0" encoding="utf-8"?>
<ds:datastoreItem xmlns:ds="http://schemas.openxmlformats.org/officeDocument/2006/customXml" ds:itemID="{08A85658-8C04-48EA-A27A-7755994C44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kumar</dc:creator>
  <cp:lastModifiedBy>abhinav kumar</cp:lastModifiedBy>
  <dcterms:created xsi:type="dcterms:W3CDTF">2026-09-25T21:03:15Z</dcterms:created>
  <dcterms:modified xsi:type="dcterms:W3CDTF">2026-09-26T10:34:15Z</dcterms:modified>
</cp:coreProperties>
</file>